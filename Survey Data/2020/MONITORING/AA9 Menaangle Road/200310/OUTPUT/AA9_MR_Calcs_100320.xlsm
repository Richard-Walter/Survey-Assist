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Cordeaux\Surv_SD\Survey Data\2020\MONITORING\AA9_MENANGLE ROAD\200310\OUTPUT\"/>
    </mc:Choice>
  </mc:AlternateContent>
  <xr:revisionPtr revIDLastSave="0" documentId="13_ncr:1_{05597F05-C1D2-44CE-99A9-0778399F2F08}" xr6:coauthVersionLast="36" xr6:coauthVersionMax="36" xr10:uidLastSave="{00000000-0000-0000-0000-000000000000}"/>
  <bookViews>
    <workbookView xWindow="165" yWindow="240" windowWidth="24375" windowHeight="10650" xr2:uid="{00000000-000D-0000-FFFF-FFFF00000000}"/>
  </bookViews>
  <sheets>
    <sheet name="Input" sheetId="4" r:id="rId1"/>
    <sheet name="GNSS Offset" sheetId="6" r:id="rId2"/>
    <sheet name="BM Adoption GNSS" sheetId="5" r:id="rId3"/>
    <sheet name="Survey Data" sheetId="1" r:id="rId4"/>
    <sheet name="Cutting" sheetId="7" r:id="rId5"/>
    <sheet name="Output" sheetId="3" r:id="rId6"/>
  </sheets>
  <externalReferences>
    <externalReference r:id="rId7"/>
    <externalReference r:id="rId8"/>
  </externalReferences>
  <definedNames>
    <definedName name="Current_GNSS_HTS">[1]!Current_GNNS_HTS[#Data]</definedName>
    <definedName name="EPOCH_CHOICE">[2]!EPOCH_LIST[EPOCH LIST]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39" i="3" l="1"/>
  <c r="K139" i="3"/>
  <c r="J140" i="3"/>
  <c r="K140" i="3"/>
  <c r="J141" i="3"/>
  <c r="K141" i="3"/>
  <c r="J142" i="3"/>
  <c r="K142" i="3"/>
  <c r="J143" i="3"/>
  <c r="K143" i="3"/>
  <c r="J138" i="3"/>
  <c r="K138" i="3"/>
  <c r="J150" i="3"/>
  <c r="J151" i="3"/>
  <c r="J152" i="3"/>
  <c r="J153" i="3"/>
  <c r="J154" i="3"/>
  <c r="J155" i="3"/>
  <c r="K150" i="3"/>
  <c r="K151" i="3"/>
  <c r="K152" i="3"/>
  <c r="K153" i="3"/>
  <c r="K154" i="3"/>
  <c r="K155" i="3"/>
  <c r="J149" i="3"/>
  <c r="K149" i="3"/>
  <c r="J147" i="3"/>
  <c r="J148" i="3"/>
  <c r="K147" i="3"/>
  <c r="K148" i="3"/>
  <c r="J146" i="3"/>
  <c r="K146" i="3"/>
  <c r="J145" i="3"/>
  <c r="K145" i="3"/>
  <c r="J144" i="3"/>
  <c r="K14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J62" i="3"/>
  <c r="K62" i="3"/>
  <c r="J63" i="3"/>
  <c r="K63" i="3"/>
  <c r="J64" i="3"/>
  <c r="K64" i="3"/>
  <c r="J65" i="3"/>
  <c r="K65" i="3"/>
  <c r="J66" i="3"/>
  <c r="K66" i="3"/>
  <c r="J67" i="3"/>
  <c r="K67" i="3"/>
  <c r="J68" i="3"/>
  <c r="K68" i="3"/>
  <c r="J69" i="3"/>
  <c r="K69" i="3"/>
  <c r="J70" i="3"/>
  <c r="K70" i="3"/>
  <c r="J71" i="3"/>
  <c r="K71" i="3"/>
  <c r="J72" i="3"/>
  <c r="K72" i="3"/>
  <c r="J73" i="3"/>
  <c r="K73" i="3"/>
  <c r="J74" i="3"/>
  <c r="K74" i="3"/>
  <c r="J75" i="3"/>
  <c r="K75" i="3"/>
  <c r="J76" i="3"/>
  <c r="K76" i="3"/>
  <c r="J77" i="3"/>
  <c r="K77" i="3"/>
  <c r="J78" i="3"/>
  <c r="K78" i="3"/>
  <c r="J79" i="3"/>
  <c r="K79" i="3"/>
  <c r="J80" i="3"/>
  <c r="K80" i="3"/>
  <c r="J81" i="3"/>
  <c r="K81" i="3"/>
  <c r="J82" i="3"/>
  <c r="K82" i="3"/>
  <c r="J83" i="3"/>
  <c r="K83" i="3"/>
  <c r="J84" i="3"/>
  <c r="K8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B439" i="1" l="1"/>
  <c r="AD184" i="1" s="1"/>
  <c r="B440" i="1"/>
  <c r="AD185" i="1" s="1"/>
  <c r="B441" i="1"/>
  <c r="AD186" i="1" s="1"/>
  <c r="B442" i="1"/>
  <c r="AD187" i="1" s="1"/>
  <c r="B443" i="1"/>
  <c r="B444" i="1"/>
  <c r="AD189" i="1" s="1"/>
  <c r="B445" i="1"/>
  <c r="AD190" i="1" s="1"/>
  <c r="B446" i="1"/>
  <c r="AD191" i="1" s="1"/>
  <c r="B447" i="1"/>
  <c r="AD192" i="1" s="1"/>
  <c r="C439" i="1"/>
  <c r="AE184" i="1" s="1"/>
  <c r="C440" i="1"/>
  <c r="AE185" i="1" s="1"/>
  <c r="C441" i="1"/>
  <c r="AE186" i="1" s="1"/>
  <c r="C442" i="1"/>
  <c r="AE187" i="1" s="1"/>
  <c r="C443" i="1"/>
  <c r="C444" i="1"/>
  <c r="AE189" i="1" s="1"/>
  <c r="C445" i="1"/>
  <c r="AE190" i="1" s="1"/>
  <c r="C446" i="1"/>
  <c r="AE191" i="1" s="1"/>
  <c r="C447" i="1"/>
  <c r="AE192" i="1" s="1"/>
  <c r="D439" i="1"/>
  <c r="AF184" i="1" s="1"/>
  <c r="D440" i="1"/>
  <c r="AF185" i="1" s="1"/>
  <c r="D441" i="1"/>
  <c r="AF186" i="1" s="1"/>
  <c r="D442" i="1"/>
  <c r="AF187" i="1" s="1"/>
  <c r="D443" i="1"/>
  <c r="D444" i="1"/>
  <c r="AF189" i="1" s="1"/>
  <c r="D445" i="1"/>
  <c r="AF190" i="1" s="1"/>
  <c r="D446" i="1"/>
  <c r="AF191" i="1" s="1"/>
  <c r="D447" i="1"/>
  <c r="AF192" i="1" s="1"/>
  <c r="B438" i="1"/>
  <c r="C438" i="1"/>
  <c r="D438" i="1"/>
  <c r="G176" i="5"/>
  <c r="F176" i="5"/>
  <c r="E176" i="5"/>
  <c r="G175" i="5"/>
  <c r="F175" i="5"/>
  <c r="E175" i="5"/>
  <c r="E174" i="5"/>
  <c r="F174" i="5" s="1"/>
  <c r="G174" i="5" s="1"/>
  <c r="I174" i="5" s="1"/>
  <c r="AG186" i="1" l="1"/>
  <c r="AG184" i="1"/>
  <c r="AG189" i="1"/>
  <c r="AH185" i="1"/>
  <c r="AG191" i="1"/>
  <c r="I175" i="5"/>
  <c r="J175" i="5" s="1"/>
  <c r="AB12" i="7"/>
  <c r="AB14" i="7"/>
  <c r="AB16" i="7"/>
  <c r="AB18" i="7"/>
  <c r="AB20" i="7"/>
  <c r="AB22" i="7"/>
  <c r="AA21" i="7"/>
  <c r="M143" i="3" s="1"/>
  <c r="AA22" i="7"/>
  <c r="M149" i="3" s="1"/>
  <c r="C139" i="3"/>
  <c r="D139" i="3"/>
  <c r="E139" i="3"/>
  <c r="F139" i="3"/>
  <c r="N139" i="3"/>
  <c r="C140" i="3"/>
  <c r="D140" i="3"/>
  <c r="E140" i="3"/>
  <c r="F140" i="3"/>
  <c r="N140" i="3"/>
  <c r="C141" i="3"/>
  <c r="D141" i="3"/>
  <c r="E141" i="3"/>
  <c r="F141" i="3"/>
  <c r="N141" i="3"/>
  <c r="C142" i="3"/>
  <c r="D142" i="3"/>
  <c r="E142" i="3"/>
  <c r="F142" i="3"/>
  <c r="N142" i="3"/>
  <c r="C143" i="3"/>
  <c r="D143" i="3"/>
  <c r="E143" i="3"/>
  <c r="F143" i="3"/>
  <c r="N143" i="3"/>
  <c r="C138" i="3"/>
  <c r="D138" i="3"/>
  <c r="E138" i="3"/>
  <c r="F138" i="3"/>
  <c r="N138" i="3"/>
  <c r="C150" i="3"/>
  <c r="C151" i="3"/>
  <c r="C152" i="3"/>
  <c r="C153" i="3"/>
  <c r="C154" i="3"/>
  <c r="C155" i="3"/>
  <c r="D150" i="3"/>
  <c r="D151" i="3"/>
  <c r="D152" i="3"/>
  <c r="D153" i="3"/>
  <c r="D154" i="3"/>
  <c r="D155" i="3"/>
  <c r="E150" i="3"/>
  <c r="E151" i="3"/>
  <c r="E152" i="3"/>
  <c r="E153" i="3"/>
  <c r="E154" i="3"/>
  <c r="E155" i="3"/>
  <c r="F150" i="3"/>
  <c r="F151" i="3"/>
  <c r="F152" i="3"/>
  <c r="F153" i="3"/>
  <c r="F154" i="3"/>
  <c r="F155" i="3"/>
  <c r="N150" i="3"/>
  <c r="N151" i="3"/>
  <c r="N152" i="3"/>
  <c r="N153" i="3"/>
  <c r="N154" i="3"/>
  <c r="N155" i="3"/>
  <c r="C149" i="3"/>
  <c r="D149" i="3"/>
  <c r="E149" i="3"/>
  <c r="F149" i="3"/>
  <c r="N149" i="3"/>
  <c r="C147" i="3"/>
  <c r="C148" i="3"/>
  <c r="D147" i="3"/>
  <c r="D148" i="3"/>
  <c r="E147" i="3"/>
  <c r="E148" i="3"/>
  <c r="F147" i="3"/>
  <c r="F148" i="3"/>
  <c r="N147" i="3"/>
  <c r="N148" i="3"/>
  <c r="C146" i="3"/>
  <c r="D146" i="3"/>
  <c r="E146" i="3"/>
  <c r="F146" i="3"/>
  <c r="N146" i="3"/>
  <c r="C145" i="3"/>
  <c r="D145" i="3"/>
  <c r="E145" i="3"/>
  <c r="F145" i="3"/>
  <c r="N145" i="3"/>
  <c r="C144" i="3"/>
  <c r="D144" i="3"/>
  <c r="E144" i="3"/>
  <c r="F144" i="3"/>
  <c r="N144" i="3"/>
  <c r="G155" i="5"/>
  <c r="F155" i="5"/>
  <c r="E155" i="5"/>
  <c r="G154" i="5"/>
  <c r="F154" i="5"/>
  <c r="E154" i="5"/>
  <c r="E153" i="5"/>
  <c r="F153" i="5" s="1"/>
  <c r="G153" i="5" s="1"/>
  <c r="I153" i="5" s="1"/>
  <c r="G135" i="5"/>
  <c r="F135" i="5"/>
  <c r="E135" i="5"/>
  <c r="G134" i="5"/>
  <c r="F134" i="5"/>
  <c r="E134" i="5"/>
  <c r="E133" i="5"/>
  <c r="F133" i="5" s="1"/>
  <c r="G133" i="5" s="1"/>
  <c r="I133" i="5" s="1"/>
  <c r="AH190" i="1" l="1"/>
  <c r="I154" i="5"/>
  <c r="J154" i="5" s="1"/>
  <c r="I134" i="5"/>
  <c r="J134" i="5" s="1"/>
  <c r="C14" i="5" l="1"/>
  <c r="D14" i="5" s="1"/>
  <c r="D106" i="5" s="1"/>
  <c r="C15" i="5"/>
  <c r="D15" i="5" s="1"/>
  <c r="D126" i="5" s="1"/>
  <c r="C16" i="5"/>
  <c r="D16" i="5" s="1"/>
  <c r="D146" i="5" s="1"/>
  <c r="H14" i="5"/>
  <c r="J14" i="5" s="1"/>
  <c r="D107" i="5" s="1"/>
  <c r="H15" i="5"/>
  <c r="J15" i="5" s="1"/>
  <c r="D127" i="5" s="1"/>
  <c r="H16" i="5"/>
  <c r="J16" i="5" s="1"/>
  <c r="D147" i="5" s="1"/>
  <c r="H13" i="5"/>
  <c r="J13" i="5" s="1"/>
  <c r="D87" i="5" s="1"/>
  <c r="C13" i="5"/>
  <c r="D13" i="5" s="1"/>
  <c r="D86" i="5" s="1"/>
  <c r="C17" i="5"/>
  <c r="D17" i="5" s="1"/>
  <c r="D167" i="5" s="1"/>
  <c r="G115" i="5"/>
  <c r="F115" i="5"/>
  <c r="E115" i="5"/>
  <c r="G114" i="5"/>
  <c r="F114" i="5"/>
  <c r="E114" i="5"/>
  <c r="E113" i="5"/>
  <c r="F113" i="5" s="1"/>
  <c r="G113" i="5" s="1"/>
  <c r="I113" i="5" s="1"/>
  <c r="AL160" i="1"/>
  <c r="M137" i="3" s="1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D109" i="5" l="1"/>
  <c r="D149" i="5"/>
  <c r="D157" i="5" s="1"/>
  <c r="D129" i="5"/>
  <c r="D137" i="5" s="1"/>
  <c r="I114" i="5"/>
  <c r="J114" i="5" s="1"/>
  <c r="B21" i="7"/>
  <c r="H21" i="7" s="1"/>
  <c r="C21" i="7"/>
  <c r="I21" i="7" s="1"/>
  <c r="D21" i="7"/>
  <c r="J21" i="7" s="1"/>
  <c r="B22" i="7"/>
  <c r="H22" i="7" s="1"/>
  <c r="C22" i="7"/>
  <c r="I22" i="7" s="1"/>
  <c r="D22" i="7"/>
  <c r="J22" i="7" s="1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13" i="7"/>
  <c r="B14" i="7"/>
  <c r="H14" i="7" s="1"/>
  <c r="C14" i="7"/>
  <c r="I14" i="7" s="1"/>
  <c r="D14" i="7"/>
  <c r="J14" i="7" s="1"/>
  <c r="B15" i="7"/>
  <c r="H15" i="7" s="1"/>
  <c r="B16" i="7"/>
  <c r="H16" i="7" s="1"/>
  <c r="B17" i="7"/>
  <c r="H17" i="7" s="1"/>
  <c r="B18" i="7"/>
  <c r="H18" i="7" s="1"/>
  <c r="B19" i="7"/>
  <c r="H19" i="7" s="1"/>
  <c r="B20" i="7"/>
  <c r="H20" i="7" s="1"/>
  <c r="B23" i="7"/>
  <c r="H23" i="7" s="1"/>
  <c r="B24" i="7"/>
  <c r="H24" i="7" s="1"/>
  <c r="B25" i="7"/>
  <c r="H25" i="7" s="1"/>
  <c r="B26" i="7"/>
  <c r="H26" i="7" s="1"/>
  <c r="B27" i="7"/>
  <c r="H27" i="7" s="1"/>
  <c r="B28" i="7"/>
  <c r="H28" i="7" s="1"/>
  <c r="B29" i="7"/>
  <c r="H29" i="7" s="1"/>
  <c r="B30" i="7"/>
  <c r="H30" i="7" s="1"/>
  <c r="B31" i="7"/>
  <c r="H31" i="7" s="1"/>
  <c r="B32" i="7"/>
  <c r="H32" i="7" s="1"/>
  <c r="B33" i="7"/>
  <c r="H33" i="7" s="1"/>
  <c r="B34" i="7"/>
  <c r="H34" i="7" s="1"/>
  <c r="B35" i="7"/>
  <c r="H35" i="7" s="1"/>
  <c r="B36" i="7"/>
  <c r="H36" i="7" s="1"/>
  <c r="B37" i="7"/>
  <c r="H37" i="7" s="1"/>
  <c r="B38" i="7"/>
  <c r="H38" i="7" s="1"/>
  <c r="C15" i="7"/>
  <c r="I15" i="7" s="1"/>
  <c r="C16" i="7"/>
  <c r="I16" i="7" s="1"/>
  <c r="C17" i="7"/>
  <c r="I17" i="7" s="1"/>
  <c r="C18" i="7"/>
  <c r="I18" i="7" s="1"/>
  <c r="C19" i="7"/>
  <c r="I19" i="7" s="1"/>
  <c r="C20" i="7"/>
  <c r="I20" i="7" s="1"/>
  <c r="C23" i="7"/>
  <c r="I23" i="7" s="1"/>
  <c r="C24" i="7"/>
  <c r="I24" i="7" s="1"/>
  <c r="C25" i="7"/>
  <c r="I25" i="7" s="1"/>
  <c r="C26" i="7"/>
  <c r="I26" i="7" s="1"/>
  <c r="C27" i="7"/>
  <c r="I27" i="7" s="1"/>
  <c r="C28" i="7"/>
  <c r="I28" i="7" s="1"/>
  <c r="C29" i="7"/>
  <c r="I29" i="7" s="1"/>
  <c r="C30" i="7"/>
  <c r="I30" i="7" s="1"/>
  <c r="C31" i="7"/>
  <c r="I31" i="7" s="1"/>
  <c r="C32" i="7"/>
  <c r="I32" i="7" s="1"/>
  <c r="C33" i="7"/>
  <c r="I33" i="7" s="1"/>
  <c r="C34" i="7"/>
  <c r="I34" i="7" s="1"/>
  <c r="C35" i="7"/>
  <c r="I35" i="7" s="1"/>
  <c r="C36" i="7"/>
  <c r="I36" i="7" s="1"/>
  <c r="C37" i="7"/>
  <c r="I37" i="7" s="1"/>
  <c r="C38" i="7"/>
  <c r="I38" i="7" s="1"/>
  <c r="D15" i="7"/>
  <c r="J15" i="7" s="1"/>
  <c r="D16" i="7"/>
  <c r="J16" i="7" s="1"/>
  <c r="D17" i="7"/>
  <c r="J17" i="7" s="1"/>
  <c r="D18" i="7"/>
  <c r="J18" i="7" s="1"/>
  <c r="D19" i="7"/>
  <c r="J19" i="7" s="1"/>
  <c r="D20" i="7"/>
  <c r="J20" i="7" s="1"/>
  <c r="D23" i="7"/>
  <c r="J23" i="7" s="1"/>
  <c r="D24" i="7"/>
  <c r="J24" i="7" s="1"/>
  <c r="D25" i="7"/>
  <c r="J25" i="7" s="1"/>
  <c r="D26" i="7"/>
  <c r="J26" i="7" s="1"/>
  <c r="D27" i="7"/>
  <c r="J27" i="7" s="1"/>
  <c r="D28" i="7"/>
  <c r="J28" i="7" s="1"/>
  <c r="D29" i="7"/>
  <c r="J29" i="7" s="1"/>
  <c r="D30" i="7"/>
  <c r="J30" i="7" s="1"/>
  <c r="D31" i="7"/>
  <c r="J31" i="7" s="1"/>
  <c r="D32" i="7"/>
  <c r="J32" i="7" s="1"/>
  <c r="D33" i="7"/>
  <c r="J33" i="7" s="1"/>
  <c r="D34" i="7"/>
  <c r="J34" i="7" s="1"/>
  <c r="D35" i="7"/>
  <c r="J35" i="7" s="1"/>
  <c r="D36" i="7"/>
  <c r="J36" i="7" s="1"/>
  <c r="D37" i="7"/>
  <c r="J37" i="7" s="1"/>
  <c r="D38" i="7"/>
  <c r="J38" i="7" s="1"/>
  <c r="D10" i="7"/>
  <c r="J10" i="7" s="1"/>
  <c r="D11" i="7"/>
  <c r="J11" i="7" s="1"/>
  <c r="D12" i="7"/>
  <c r="J12" i="7" s="1"/>
  <c r="D13" i="7"/>
  <c r="J13" i="7" s="1"/>
  <c r="C10" i="7"/>
  <c r="I10" i="7" s="1"/>
  <c r="C11" i="7"/>
  <c r="I11" i="7" s="1"/>
  <c r="C12" i="7"/>
  <c r="I12" i="7" s="1"/>
  <c r="C13" i="7"/>
  <c r="I13" i="7" s="1"/>
  <c r="B10" i="7"/>
  <c r="H10" i="7" s="1"/>
  <c r="B11" i="7"/>
  <c r="H11" i="7" s="1"/>
  <c r="B12" i="7"/>
  <c r="H12" i="7" s="1"/>
  <c r="B13" i="7"/>
  <c r="H13" i="7" s="1"/>
  <c r="G12" i="7"/>
  <c r="G11" i="7"/>
  <c r="G10" i="7"/>
  <c r="G9" i="7"/>
  <c r="D9" i="7"/>
  <c r="J9" i="7" s="1"/>
  <c r="C9" i="7"/>
  <c r="I9" i="7" s="1"/>
  <c r="B9" i="7"/>
  <c r="H9" i="7" s="1"/>
  <c r="A2" i="7"/>
  <c r="D117" i="5" l="1"/>
  <c r="M15" i="7"/>
  <c r="L15" i="7"/>
  <c r="K17" i="7"/>
  <c r="L17" i="7"/>
  <c r="K15" i="7"/>
  <c r="M17" i="7"/>
  <c r="K10" i="7"/>
  <c r="M19" i="7"/>
  <c r="K19" i="7"/>
  <c r="L19" i="7"/>
  <c r="M35" i="7"/>
  <c r="M21" i="7"/>
  <c r="L37" i="7"/>
  <c r="L33" i="7"/>
  <c r="L29" i="7"/>
  <c r="L27" i="7"/>
  <c r="L23" i="7"/>
  <c r="K31" i="7"/>
  <c r="K25" i="7"/>
  <c r="K21" i="7"/>
  <c r="M37" i="7"/>
  <c r="M33" i="7"/>
  <c r="M29" i="7"/>
  <c r="M27" i="7"/>
  <c r="M23" i="7"/>
  <c r="L35" i="7"/>
  <c r="L31" i="7"/>
  <c r="L25" i="7"/>
  <c r="L21" i="7"/>
  <c r="K37" i="7"/>
  <c r="K33" i="7"/>
  <c r="K29" i="7"/>
  <c r="K27" i="7"/>
  <c r="K23" i="7"/>
  <c r="M31" i="7"/>
  <c r="M25" i="7"/>
  <c r="K35" i="7"/>
  <c r="K12" i="7"/>
  <c r="M12" i="7"/>
  <c r="L10" i="7"/>
  <c r="M10" i="7"/>
  <c r="L12" i="7"/>
  <c r="V18" i="7" l="1"/>
  <c r="AA18" i="7" s="1"/>
  <c r="M147" i="3" s="1"/>
  <c r="V20" i="7"/>
  <c r="AA20" i="7" s="1"/>
  <c r="M148" i="3" s="1"/>
  <c r="W22" i="7"/>
  <c r="AB21" i="7" s="1"/>
  <c r="M155" i="3" s="1"/>
  <c r="V16" i="7"/>
  <c r="AA16" i="7" s="1"/>
  <c r="M146" i="3" s="1"/>
  <c r="W29" i="7"/>
  <c r="AB31" i="7" s="1"/>
  <c r="V12" i="7"/>
  <c r="AA11" i="7" s="1"/>
  <c r="M138" i="3" s="1"/>
  <c r="W12" i="7"/>
  <c r="AB11" i="7" s="1"/>
  <c r="M150" i="3" s="1"/>
  <c r="V15" i="7"/>
  <c r="AA15" i="7" s="1"/>
  <c r="M140" i="3" s="1"/>
  <c r="W15" i="7"/>
  <c r="AB15" i="7" s="1"/>
  <c r="M152" i="3" s="1"/>
  <c r="W19" i="7"/>
  <c r="AB19" i="7" s="1"/>
  <c r="M154" i="3" s="1"/>
  <c r="V19" i="7"/>
  <c r="AA19" i="7" s="1"/>
  <c r="M142" i="3" s="1"/>
  <c r="W17" i="7"/>
  <c r="AB17" i="7" s="1"/>
  <c r="M153" i="3" s="1"/>
  <c r="V17" i="7"/>
  <c r="AA17" i="7" s="1"/>
  <c r="M141" i="3" s="1"/>
  <c r="V13" i="7"/>
  <c r="AA13" i="7" s="1"/>
  <c r="M139" i="3" s="1"/>
  <c r="W13" i="7"/>
  <c r="AB13" i="7" s="1"/>
  <c r="M151" i="3" s="1"/>
  <c r="V11" i="7"/>
  <c r="AA12" i="7" s="1"/>
  <c r="M144" i="3" s="1"/>
  <c r="V14" i="7"/>
  <c r="AA14" i="7" s="1"/>
  <c r="M145" i="3" s="1"/>
  <c r="N11" i="7"/>
  <c r="N36" i="7"/>
  <c r="N28" i="7"/>
  <c r="N24" i="7"/>
  <c r="N22" i="7"/>
  <c r="N30" i="7"/>
  <c r="N26" i="7"/>
  <c r="N20" i="7"/>
  <c r="N32" i="7"/>
  <c r="N34" i="7"/>
  <c r="N18" i="7"/>
  <c r="N13" i="7"/>
  <c r="N16" i="7"/>
  <c r="G400" i="1"/>
  <c r="G372" i="1"/>
  <c r="G346" i="1"/>
  <c r="G314" i="1"/>
  <c r="G252" i="1"/>
  <c r="G251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B258" i="1"/>
  <c r="H258" i="1" s="1"/>
  <c r="B259" i="1"/>
  <c r="H259" i="1" s="1"/>
  <c r="B260" i="1"/>
  <c r="H260" i="1" s="1"/>
  <c r="B261" i="1"/>
  <c r="H261" i="1" s="1"/>
  <c r="B262" i="1"/>
  <c r="H262" i="1" s="1"/>
  <c r="B263" i="1"/>
  <c r="H263" i="1" s="1"/>
  <c r="B264" i="1"/>
  <c r="H264" i="1" s="1"/>
  <c r="B265" i="1"/>
  <c r="H265" i="1" s="1"/>
  <c r="B266" i="1"/>
  <c r="H266" i="1" s="1"/>
  <c r="B267" i="1"/>
  <c r="H267" i="1" s="1"/>
  <c r="B268" i="1"/>
  <c r="H268" i="1" s="1"/>
  <c r="B269" i="1"/>
  <c r="H269" i="1" s="1"/>
  <c r="B270" i="1"/>
  <c r="H270" i="1" s="1"/>
  <c r="B271" i="1"/>
  <c r="H271" i="1" s="1"/>
  <c r="B272" i="1"/>
  <c r="H272" i="1" s="1"/>
  <c r="B273" i="1"/>
  <c r="H273" i="1" s="1"/>
  <c r="B274" i="1"/>
  <c r="H274" i="1" s="1"/>
  <c r="B275" i="1"/>
  <c r="H275" i="1" s="1"/>
  <c r="B276" i="1"/>
  <c r="H276" i="1" s="1"/>
  <c r="B277" i="1"/>
  <c r="B278" i="1"/>
  <c r="B279" i="1"/>
  <c r="B280" i="1"/>
  <c r="B281" i="1"/>
  <c r="H277" i="1" s="1"/>
  <c r="B282" i="1"/>
  <c r="H278" i="1" s="1"/>
  <c r="B283" i="1"/>
  <c r="B284" i="1"/>
  <c r="B295" i="1"/>
  <c r="H283" i="1" s="1"/>
  <c r="B296" i="1"/>
  <c r="H284" i="1" s="1"/>
  <c r="B285" i="1"/>
  <c r="B286" i="1"/>
  <c r="B287" i="1"/>
  <c r="H279" i="1" s="1"/>
  <c r="B288" i="1"/>
  <c r="H280" i="1" s="1"/>
  <c r="B289" i="1"/>
  <c r="B290" i="1"/>
  <c r="B291" i="1"/>
  <c r="H281" i="1" s="1"/>
  <c r="B292" i="1"/>
  <c r="H282" i="1" s="1"/>
  <c r="B293" i="1"/>
  <c r="B294" i="1"/>
  <c r="B297" i="1"/>
  <c r="H285" i="1" s="1"/>
  <c r="B298" i="1"/>
  <c r="H286" i="1" s="1"/>
  <c r="B299" i="1"/>
  <c r="H287" i="1" s="1"/>
  <c r="B300" i="1"/>
  <c r="H288" i="1" s="1"/>
  <c r="B301" i="1"/>
  <c r="H289" i="1" s="1"/>
  <c r="B302" i="1"/>
  <c r="H290" i="1" s="1"/>
  <c r="B303" i="1"/>
  <c r="H291" i="1" s="1"/>
  <c r="B304" i="1"/>
  <c r="H292" i="1" s="1"/>
  <c r="B305" i="1"/>
  <c r="H293" i="1" s="1"/>
  <c r="B306" i="1"/>
  <c r="H294" i="1" s="1"/>
  <c r="B307" i="1"/>
  <c r="H295" i="1" s="1"/>
  <c r="B308" i="1"/>
  <c r="H296" i="1" s="1"/>
  <c r="B309" i="1"/>
  <c r="H297" i="1" s="1"/>
  <c r="B310" i="1"/>
  <c r="H298" i="1" s="1"/>
  <c r="B311" i="1"/>
  <c r="H299" i="1" s="1"/>
  <c r="B312" i="1"/>
  <c r="H300" i="1" s="1"/>
  <c r="B313" i="1"/>
  <c r="H301" i="1" s="1"/>
  <c r="B314" i="1"/>
  <c r="H302" i="1" s="1"/>
  <c r="B315" i="1"/>
  <c r="H303" i="1" s="1"/>
  <c r="B316" i="1"/>
  <c r="H304" i="1" s="1"/>
  <c r="B317" i="1"/>
  <c r="H305" i="1" s="1"/>
  <c r="B318" i="1"/>
  <c r="H306" i="1" s="1"/>
  <c r="B319" i="1"/>
  <c r="H307" i="1" s="1"/>
  <c r="B320" i="1"/>
  <c r="H308" i="1" s="1"/>
  <c r="B321" i="1"/>
  <c r="H309" i="1" s="1"/>
  <c r="B322" i="1"/>
  <c r="H310" i="1" s="1"/>
  <c r="B323" i="1"/>
  <c r="H311" i="1" s="1"/>
  <c r="B324" i="1"/>
  <c r="H312" i="1" s="1"/>
  <c r="B325" i="1"/>
  <c r="H313" i="1" s="1"/>
  <c r="B326" i="1"/>
  <c r="B327" i="1"/>
  <c r="H315" i="1" s="1"/>
  <c r="B328" i="1"/>
  <c r="H316" i="1" s="1"/>
  <c r="B329" i="1"/>
  <c r="H317" i="1" s="1"/>
  <c r="B330" i="1"/>
  <c r="H318" i="1" s="1"/>
  <c r="B331" i="1"/>
  <c r="H319" i="1" s="1"/>
  <c r="B332" i="1"/>
  <c r="H320" i="1" s="1"/>
  <c r="B333" i="1"/>
  <c r="H321" i="1" s="1"/>
  <c r="B334" i="1"/>
  <c r="H322" i="1" s="1"/>
  <c r="B335" i="1"/>
  <c r="H323" i="1" s="1"/>
  <c r="B336" i="1"/>
  <c r="H324" i="1" s="1"/>
  <c r="B337" i="1"/>
  <c r="H325" i="1" s="1"/>
  <c r="B338" i="1"/>
  <c r="H326" i="1" s="1"/>
  <c r="B339" i="1"/>
  <c r="H327" i="1" s="1"/>
  <c r="B340" i="1"/>
  <c r="H328" i="1" s="1"/>
  <c r="B341" i="1"/>
  <c r="H329" i="1" s="1"/>
  <c r="B342" i="1"/>
  <c r="H330" i="1" s="1"/>
  <c r="B343" i="1"/>
  <c r="H331" i="1" s="1"/>
  <c r="B344" i="1"/>
  <c r="H332" i="1" s="1"/>
  <c r="B345" i="1"/>
  <c r="H333" i="1" s="1"/>
  <c r="B346" i="1"/>
  <c r="H334" i="1" s="1"/>
  <c r="B347" i="1"/>
  <c r="H335" i="1" s="1"/>
  <c r="B348" i="1"/>
  <c r="H336" i="1" s="1"/>
  <c r="B349" i="1"/>
  <c r="H337" i="1" s="1"/>
  <c r="B350" i="1"/>
  <c r="H338" i="1" s="1"/>
  <c r="B351" i="1"/>
  <c r="H339" i="1" s="1"/>
  <c r="B352" i="1"/>
  <c r="H340" i="1" s="1"/>
  <c r="B353" i="1"/>
  <c r="H341" i="1" s="1"/>
  <c r="B354" i="1"/>
  <c r="H342" i="1" s="1"/>
  <c r="B355" i="1"/>
  <c r="H343" i="1" s="1"/>
  <c r="B356" i="1"/>
  <c r="H344" i="1" s="1"/>
  <c r="B357" i="1"/>
  <c r="H345" i="1" s="1"/>
  <c r="B358" i="1"/>
  <c r="B359" i="1"/>
  <c r="H347" i="1" s="1"/>
  <c r="B360" i="1"/>
  <c r="H348" i="1" s="1"/>
  <c r="B361" i="1"/>
  <c r="H349" i="1" s="1"/>
  <c r="B362" i="1"/>
  <c r="H350" i="1" s="1"/>
  <c r="B363" i="1"/>
  <c r="H351" i="1" s="1"/>
  <c r="B364" i="1"/>
  <c r="H352" i="1" s="1"/>
  <c r="B365" i="1"/>
  <c r="H353" i="1" s="1"/>
  <c r="B366" i="1"/>
  <c r="H354" i="1" s="1"/>
  <c r="B367" i="1"/>
  <c r="H355" i="1" s="1"/>
  <c r="B368" i="1"/>
  <c r="H356" i="1" s="1"/>
  <c r="B369" i="1"/>
  <c r="H357" i="1" s="1"/>
  <c r="B370" i="1"/>
  <c r="H358" i="1" s="1"/>
  <c r="B371" i="1"/>
  <c r="H359" i="1" s="1"/>
  <c r="B372" i="1"/>
  <c r="H360" i="1" s="1"/>
  <c r="B373" i="1"/>
  <c r="H361" i="1" s="1"/>
  <c r="B374" i="1"/>
  <c r="H362" i="1" s="1"/>
  <c r="B375" i="1"/>
  <c r="H363" i="1" s="1"/>
  <c r="B376" i="1"/>
  <c r="H364" i="1" s="1"/>
  <c r="B377" i="1"/>
  <c r="H365" i="1" s="1"/>
  <c r="B378" i="1"/>
  <c r="H366" i="1" s="1"/>
  <c r="B379" i="1"/>
  <c r="H367" i="1" s="1"/>
  <c r="B380" i="1"/>
  <c r="H368" i="1" s="1"/>
  <c r="B381" i="1"/>
  <c r="H369" i="1" s="1"/>
  <c r="B382" i="1"/>
  <c r="H370" i="1" s="1"/>
  <c r="B383" i="1"/>
  <c r="H371" i="1" s="1"/>
  <c r="B384" i="1"/>
  <c r="B385" i="1"/>
  <c r="H373" i="1" s="1"/>
  <c r="B386" i="1"/>
  <c r="H374" i="1" s="1"/>
  <c r="B387" i="1"/>
  <c r="H375" i="1" s="1"/>
  <c r="B388" i="1"/>
  <c r="H376" i="1" s="1"/>
  <c r="B389" i="1"/>
  <c r="H377" i="1" s="1"/>
  <c r="B390" i="1"/>
  <c r="H378" i="1" s="1"/>
  <c r="B391" i="1"/>
  <c r="H379" i="1" s="1"/>
  <c r="B392" i="1"/>
  <c r="H380" i="1" s="1"/>
  <c r="B393" i="1"/>
  <c r="H381" i="1" s="1"/>
  <c r="B394" i="1"/>
  <c r="H382" i="1" s="1"/>
  <c r="B395" i="1"/>
  <c r="H383" i="1" s="1"/>
  <c r="B396" i="1"/>
  <c r="H384" i="1" s="1"/>
  <c r="B397" i="1"/>
  <c r="H385" i="1" s="1"/>
  <c r="B398" i="1"/>
  <c r="H386" i="1" s="1"/>
  <c r="B399" i="1"/>
  <c r="H387" i="1" s="1"/>
  <c r="B400" i="1"/>
  <c r="H388" i="1" s="1"/>
  <c r="B401" i="1"/>
  <c r="H389" i="1" s="1"/>
  <c r="B402" i="1"/>
  <c r="H390" i="1" s="1"/>
  <c r="B403" i="1"/>
  <c r="H391" i="1" s="1"/>
  <c r="B404" i="1"/>
  <c r="H392" i="1" s="1"/>
  <c r="B405" i="1"/>
  <c r="H393" i="1" s="1"/>
  <c r="B406" i="1"/>
  <c r="H394" i="1" s="1"/>
  <c r="B407" i="1"/>
  <c r="H395" i="1" s="1"/>
  <c r="B408" i="1"/>
  <c r="H396" i="1" s="1"/>
  <c r="B409" i="1"/>
  <c r="H397" i="1" s="1"/>
  <c r="B410" i="1"/>
  <c r="H398" i="1" s="1"/>
  <c r="B411" i="1"/>
  <c r="H399" i="1" s="1"/>
  <c r="B412" i="1"/>
  <c r="B413" i="1"/>
  <c r="H401" i="1" s="1"/>
  <c r="B414" i="1"/>
  <c r="H402" i="1" s="1"/>
  <c r="B415" i="1"/>
  <c r="H403" i="1" s="1"/>
  <c r="B416" i="1"/>
  <c r="H404" i="1" s="1"/>
  <c r="B417" i="1"/>
  <c r="H405" i="1" s="1"/>
  <c r="B418" i="1"/>
  <c r="H406" i="1" s="1"/>
  <c r="B419" i="1"/>
  <c r="H407" i="1" s="1"/>
  <c r="B420" i="1"/>
  <c r="H408" i="1" s="1"/>
  <c r="B421" i="1"/>
  <c r="H409" i="1" s="1"/>
  <c r="B422" i="1"/>
  <c r="H410" i="1" s="1"/>
  <c r="B423" i="1"/>
  <c r="H411" i="1" s="1"/>
  <c r="B424" i="1"/>
  <c r="H412" i="1" s="1"/>
  <c r="B425" i="1"/>
  <c r="H413" i="1" s="1"/>
  <c r="B426" i="1"/>
  <c r="H414" i="1" s="1"/>
  <c r="B427" i="1"/>
  <c r="H415" i="1" s="1"/>
  <c r="B428" i="1"/>
  <c r="H416" i="1" s="1"/>
  <c r="B429" i="1"/>
  <c r="H417" i="1" s="1"/>
  <c r="B430" i="1"/>
  <c r="H418" i="1" s="1"/>
  <c r="B431" i="1"/>
  <c r="H419" i="1" s="1"/>
  <c r="B432" i="1"/>
  <c r="H420" i="1" s="1"/>
  <c r="B433" i="1"/>
  <c r="H421" i="1" s="1"/>
  <c r="B434" i="1"/>
  <c r="H422" i="1" s="1"/>
  <c r="B435" i="1"/>
  <c r="H423" i="1" s="1"/>
  <c r="B436" i="1"/>
  <c r="H424" i="1" s="1"/>
  <c r="B437" i="1"/>
  <c r="H425" i="1" s="1"/>
  <c r="C258" i="1"/>
  <c r="I258" i="1" s="1"/>
  <c r="C259" i="1"/>
  <c r="I259" i="1" s="1"/>
  <c r="C260" i="1"/>
  <c r="I260" i="1" s="1"/>
  <c r="C261" i="1"/>
  <c r="I261" i="1" s="1"/>
  <c r="C262" i="1"/>
  <c r="I262" i="1" s="1"/>
  <c r="C263" i="1"/>
  <c r="I263" i="1" s="1"/>
  <c r="C264" i="1"/>
  <c r="I264" i="1" s="1"/>
  <c r="C265" i="1"/>
  <c r="I265" i="1" s="1"/>
  <c r="C266" i="1"/>
  <c r="I266" i="1" s="1"/>
  <c r="C267" i="1"/>
  <c r="I267" i="1" s="1"/>
  <c r="C268" i="1"/>
  <c r="I268" i="1" s="1"/>
  <c r="C269" i="1"/>
  <c r="I269" i="1" s="1"/>
  <c r="C270" i="1"/>
  <c r="I270" i="1" s="1"/>
  <c r="C271" i="1"/>
  <c r="I271" i="1" s="1"/>
  <c r="C272" i="1"/>
  <c r="I272" i="1" s="1"/>
  <c r="C273" i="1"/>
  <c r="I273" i="1" s="1"/>
  <c r="C274" i="1"/>
  <c r="I274" i="1" s="1"/>
  <c r="C275" i="1"/>
  <c r="I275" i="1" s="1"/>
  <c r="C276" i="1"/>
  <c r="I276" i="1" s="1"/>
  <c r="C277" i="1"/>
  <c r="C278" i="1"/>
  <c r="C279" i="1"/>
  <c r="C280" i="1"/>
  <c r="C281" i="1"/>
  <c r="I277" i="1" s="1"/>
  <c r="C282" i="1"/>
  <c r="I278" i="1" s="1"/>
  <c r="C283" i="1"/>
  <c r="C284" i="1"/>
  <c r="C295" i="1"/>
  <c r="I283" i="1" s="1"/>
  <c r="C296" i="1"/>
  <c r="I284" i="1" s="1"/>
  <c r="C285" i="1"/>
  <c r="C286" i="1"/>
  <c r="C287" i="1"/>
  <c r="I279" i="1" s="1"/>
  <c r="C288" i="1"/>
  <c r="I280" i="1" s="1"/>
  <c r="C289" i="1"/>
  <c r="C290" i="1"/>
  <c r="C291" i="1"/>
  <c r="I281" i="1" s="1"/>
  <c r="C292" i="1"/>
  <c r="I282" i="1" s="1"/>
  <c r="C293" i="1"/>
  <c r="C294" i="1"/>
  <c r="C297" i="1"/>
  <c r="I285" i="1" s="1"/>
  <c r="C298" i="1"/>
  <c r="I286" i="1" s="1"/>
  <c r="C299" i="1"/>
  <c r="I287" i="1" s="1"/>
  <c r="C300" i="1"/>
  <c r="I288" i="1" s="1"/>
  <c r="C301" i="1"/>
  <c r="I289" i="1" s="1"/>
  <c r="C302" i="1"/>
  <c r="I290" i="1" s="1"/>
  <c r="C303" i="1"/>
  <c r="I291" i="1" s="1"/>
  <c r="C304" i="1"/>
  <c r="I292" i="1" s="1"/>
  <c r="C305" i="1"/>
  <c r="I293" i="1" s="1"/>
  <c r="C306" i="1"/>
  <c r="I294" i="1" s="1"/>
  <c r="C307" i="1"/>
  <c r="I295" i="1" s="1"/>
  <c r="C308" i="1"/>
  <c r="I296" i="1" s="1"/>
  <c r="C309" i="1"/>
  <c r="I297" i="1" s="1"/>
  <c r="C310" i="1"/>
  <c r="I298" i="1" s="1"/>
  <c r="C311" i="1"/>
  <c r="I299" i="1" s="1"/>
  <c r="C312" i="1"/>
  <c r="I300" i="1" s="1"/>
  <c r="C313" i="1"/>
  <c r="I301" i="1" s="1"/>
  <c r="C314" i="1"/>
  <c r="I302" i="1" s="1"/>
  <c r="C315" i="1"/>
  <c r="I303" i="1" s="1"/>
  <c r="C316" i="1"/>
  <c r="I304" i="1" s="1"/>
  <c r="C317" i="1"/>
  <c r="I305" i="1" s="1"/>
  <c r="C318" i="1"/>
  <c r="I306" i="1" s="1"/>
  <c r="C319" i="1"/>
  <c r="I307" i="1" s="1"/>
  <c r="C320" i="1"/>
  <c r="I308" i="1" s="1"/>
  <c r="C321" i="1"/>
  <c r="I309" i="1" s="1"/>
  <c r="C322" i="1"/>
  <c r="I310" i="1" s="1"/>
  <c r="C323" i="1"/>
  <c r="I311" i="1" s="1"/>
  <c r="C324" i="1"/>
  <c r="I312" i="1" s="1"/>
  <c r="C325" i="1"/>
  <c r="I313" i="1" s="1"/>
  <c r="C326" i="1"/>
  <c r="C327" i="1"/>
  <c r="I315" i="1" s="1"/>
  <c r="C328" i="1"/>
  <c r="I316" i="1" s="1"/>
  <c r="C329" i="1"/>
  <c r="I317" i="1" s="1"/>
  <c r="C330" i="1"/>
  <c r="I318" i="1" s="1"/>
  <c r="C331" i="1"/>
  <c r="I319" i="1" s="1"/>
  <c r="C332" i="1"/>
  <c r="I320" i="1" s="1"/>
  <c r="C333" i="1"/>
  <c r="I321" i="1" s="1"/>
  <c r="C334" i="1"/>
  <c r="I322" i="1" s="1"/>
  <c r="C335" i="1"/>
  <c r="I323" i="1" s="1"/>
  <c r="C336" i="1"/>
  <c r="I324" i="1" s="1"/>
  <c r="C337" i="1"/>
  <c r="I325" i="1" s="1"/>
  <c r="C338" i="1"/>
  <c r="I326" i="1" s="1"/>
  <c r="C339" i="1"/>
  <c r="I327" i="1" s="1"/>
  <c r="C340" i="1"/>
  <c r="I328" i="1" s="1"/>
  <c r="C341" i="1"/>
  <c r="I329" i="1" s="1"/>
  <c r="C342" i="1"/>
  <c r="I330" i="1" s="1"/>
  <c r="C343" i="1"/>
  <c r="I331" i="1" s="1"/>
  <c r="C344" i="1"/>
  <c r="I332" i="1" s="1"/>
  <c r="C345" i="1"/>
  <c r="I333" i="1" s="1"/>
  <c r="C346" i="1"/>
  <c r="I334" i="1" s="1"/>
  <c r="C347" i="1"/>
  <c r="I335" i="1" s="1"/>
  <c r="C348" i="1"/>
  <c r="I336" i="1" s="1"/>
  <c r="C349" i="1"/>
  <c r="I337" i="1" s="1"/>
  <c r="C350" i="1"/>
  <c r="I338" i="1" s="1"/>
  <c r="C351" i="1"/>
  <c r="I339" i="1" s="1"/>
  <c r="C352" i="1"/>
  <c r="I340" i="1" s="1"/>
  <c r="C353" i="1"/>
  <c r="I341" i="1" s="1"/>
  <c r="C354" i="1"/>
  <c r="I342" i="1" s="1"/>
  <c r="C355" i="1"/>
  <c r="I343" i="1" s="1"/>
  <c r="C356" i="1"/>
  <c r="I344" i="1" s="1"/>
  <c r="C357" i="1"/>
  <c r="I345" i="1" s="1"/>
  <c r="C358" i="1"/>
  <c r="C359" i="1"/>
  <c r="I347" i="1" s="1"/>
  <c r="C360" i="1"/>
  <c r="I348" i="1" s="1"/>
  <c r="C361" i="1"/>
  <c r="I349" i="1" s="1"/>
  <c r="C362" i="1"/>
  <c r="I350" i="1" s="1"/>
  <c r="C363" i="1"/>
  <c r="I351" i="1" s="1"/>
  <c r="C364" i="1"/>
  <c r="I352" i="1" s="1"/>
  <c r="C365" i="1"/>
  <c r="I353" i="1" s="1"/>
  <c r="C366" i="1"/>
  <c r="I354" i="1" s="1"/>
  <c r="C367" i="1"/>
  <c r="I355" i="1" s="1"/>
  <c r="C368" i="1"/>
  <c r="I356" i="1" s="1"/>
  <c r="C369" i="1"/>
  <c r="I357" i="1" s="1"/>
  <c r="C370" i="1"/>
  <c r="I358" i="1" s="1"/>
  <c r="C371" i="1"/>
  <c r="I359" i="1" s="1"/>
  <c r="C372" i="1"/>
  <c r="I360" i="1" s="1"/>
  <c r="C373" i="1"/>
  <c r="I361" i="1" s="1"/>
  <c r="C374" i="1"/>
  <c r="I362" i="1" s="1"/>
  <c r="C375" i="1"/>
  <c r="I363" i="1" s="1"/>
  <c r="C376" i="1"/>
  <c r="I364" i="1" s="1"/>
  <c r="C377" i="1"/>
  <c r="I365" i="1" s="1"/>
  <c r="C378" i="1"/>
  <c r="I366" i="1" s="1"/>
  <c r="C379" i="1"/>
  <c r="I367" i="1" s="1"/>
  <c r="C380" i="1"/>
  <c r="I368" i="1" s="1"/>
  <c r="C381" i="1"/>
  <c r="I369" i="1" s="1"/>
  <c r="C382" i="1"/>
  <c r="I370" i="1" s="1"/>
  <c r="C383" i="1"/>
  <c r="I371" i="1" s="1"/>
  <c r="C384" i="1"/>
  <c r="C385" i="1"/>
  <c r="I373" i="1" s="1"/>
  <c r="C386" i="1"/>
  <c r="I374" i="1" s="1"/>
  <c r="C387" i="1"/>
  <c r="I375" i="1" s="1"/>
  <c r="C388" i="1"/>
  <c r="I376" i="1" s="1"/>
  <c r="C389" i="1"/>
  <c r="I377" i="1" s="1"/>
  <c r="C390" i="1"/>
  <c r="I378" i="1" s="1"/>
  <c r="C391" i="1"/>
  <c r="I379" i="1" s="1"/>
  <c r="C392" i="1"/>
  <c r="I380" i="1" s="1"/>
  <c r="C393" i="1"/>
  <c r="I381" i="1" s="1"/>
  <c r="C394" i="1"/>
  <c r="I382" i="1" s="1"/>
  <c r="C395" i="1"/>
  <c r="I383" i="1" s="1"/>
  <c r="C396" i="1"/>
  <c r="I384" i="1" s="1"/>
  <c r="C397" i="1"/>
  <c r="I385" i="1" s="1"/>
  <c r="C398" i="1"/>
  <c r="I386" i="1" s="1"/>
  <c r="C399" i="1"/>
  <c r="I387" i="1" s="1"/>
  <c r="C400" i="1"/>
  <c r="I388" i="1" s="1"/>
  <c r="C401" i="1"/>
  <c r="I389" i="1" s="1"/>
  <c r="C402" i="1"/>
  <c r="I390" i="1" s="1"/>
  <c r="C403" i="1"/>
  <c r="I391" i="1" s="1"/>
  <c r="C404" i="1"/>
  <c r="I392" i="1" s="1"/>
  <c r="C405" i="1"/>
  <c r="I393" i="1" s="1"/>
  <c r="C406" i="1"/>
  <c r="I394" i="1" s="1"/>
  <c r="C407" i="1"/>
  <c r="I395" i="1" s="1"/>
  <c r="C408" i="1"/>
  <c r="I396" i="1" s="1"/>
  <c r="C409" i="1"/>
  <c r="I397" i="1" s="1"/>
  <c r="C410" i="1"/>
  <c r="I398" i="1" s="1"/>
  <c r="C411" i="1"/>
  <c r="I399" i="1" s="1"/>
  <c r="C412" i="1"/>
  <c r="C413" i="1"/>
  <c r="I401" i="1" s="1"/>
  <c r="C414" i="1"/>
  <c r="I402" i="1" s="1"/>
  <c r="C415" i="1"/>
  <c r="I403" i="1" s="1"/>
  <c r="C416" i="1"/>
  <c r="I404" i="1" s="1"/>
  <c r="C417" i="1"/>
  <c r="I405" i="1" s="1"/>
  <c r="C418" i="1"/>
  <c r="I406" i="1" s="1"/>
  <c r="C419" i="1"/>
  <c r="I407" i="1" s="1"/>
  <c r="C420" i="1"/>
  <c r="I408" i="1" s="1"/>
  <c r="C421" i="1"/>
  <c r="I409" i="1" s="1"/>
  <c r="C422" i="1"/>
  <c r="I410" i="1" s="1"/>
  <c r="C423" i="1"/>
  <c r="I411" i="1" s="1"/>
  <c r="C424" i="1"/>
  <c r="I412" i="1" s="1"/>
  <c r="C425" i="1"/>
  <c r="I413" i="1" s="1"/>
  <c r="C426" i="1"/>
  <c r="I414" i="1" s="1"/>
  <c r="C427" i="1"/>
  <c r="I415" i="1" s="1"/>
  <c r="C428" i="1"/>
  <c r="I416" i="1" s="1"/>
  <c r="C429" i="1"/>
  <c r="I417" i="1" s="1"/>
  <c r="C430" i="1"/>
  <c r="I418" i="1" s="1"/>
  <c r="C431" i="1"/>
  <c r="I419" i="1" s="1"/>
  <c r="C432" i="1"/>
  <c r="I420" i="1" s="1"/>
  <c r="C433" i="1"/>
  <c r="I421" i="1" s="1"/>
  <c r="C434" i="1"/>
  <c r="I422" i="1" s="1"/>
  <c r="C435" i="1"/>
  <c r="I423" i="1" s="1"/>
  <c r="C436" i="1"/>
  <c r="I424" i="1" s="1"/>
  <c r="C437" i="1"/>
  <c r="I425" i="1" s="1"/>
  <c r="D258" i="1"/>
  <c r="J258" i="1" s="1"/>
  <c r="D259" i="1"/>
  <c r="J259" i="1" s="1"/>
  <c r="D260" i="1"/>
  <c r="J260" i="1" s="1"/>
  <c r="D261" i="1"/>
  <c r="J261" i="1" s="1"/>
  <c r="D262" i="1"/>
  <c r="J262" i="1" s="1"/>
  <c r="D263" i="1"/>
  <c r="J263" i="1" s="1"/>
  <c r="D264" i="1"/>
  <c r="J264" i="1" s="1"/>
  <c r="D265" i="1"/>
  <c r="J265" i="1" s="1"/>
  <c r="D266" i="1"/>
  <c r="J266" i="1" s="1"/>
  <c r="D267" i="1"/>
  <c r="J267" i="1" s="1"/>
  <c r="D268" i="1"/>
  <c r="J268" i="1" s="1"/>
  <c r="D269" i="1"/>
  <c r="J269" i="1" s="1"/>
  <c r="D270" i="1"/>
  <c r="J270" i="1" s="1"/>
  <c r="D271" i="1"/>
  <c r="J271" i="1" s="1"/>
  <c r="D272" i="1"/>
  <c r="J272" i="1" s="1"/>
  <c r="D273" i="1"/>
  <c r="J273" i="1" s="1"/>
  <c r="D274" i="1"/>
  <c r="J274" i="1" s="1"/>
  <c r="D275" i="1"/>
  <c r="J275" i="1" s="1"/>
  <c r="D276" i="1"/>
  <c r="J276" i="1" s="1"/>
  <c r="D277" i="1"/>
  <c r="D278" i="1"/>
  <c r="D279" i="1"/>
  <c r="D280" i="1"/>
  <c r="D281" i="1"/>
  <c r="J277" i="1" s="1"/>
  <c r="D282" i="1"/>
  <c r="J278" i="1" s="1"/>
  <c r="D283" i="1"/>
  <c r="D284" i="1"/>
  <c r="D295" i="1"/>
  <c r="J283" i="1" s="1"/>
  <c r="D296" i="1"/>
  <c r="J284" i="1" s="1"/>
  <c r="D285" i="1"/>
  <c r="D286" i="1"/>
  <c r="D287" i="1"/>
  <c r="J279" i="1" s="1"/>
  <c r="D288" i="1"/>
  <c r="J280" i="1" s="1"/>
  <c r="D289" i="1"/>
  <c r="D290" i="1"/>
  <c r="D291" i="1"/>
  <c r="J281" i="1" s="1"/>
  <c r="D292" i="1"/>
  <c r="J282" i="1" s="1"/>
  <c r="D293" i="1"/>
  <c r="D294" i="1"/>
  <c r="D297" i="1"/>
  <c r="J285" i="1" s="1"/>
  <c r="D298" i="1"/>
  <c r="J286" i="1" s="1"/>
  <c r="D299" i="1"/>
  <c r="J287" i="1" s="1"/>
  <c r="D300" i="1"/>
  <c r="J288" i="1" s="1"/>
  <c r="D301" i="1"/>
  <c r="J289" i="1" s="1"/>
  <c r="D302" i="1"/>
  <c r="J290" i="1" s="1"/>
  <c r="D303" i="1"/>
  <c r="J291" i="1" s="1"/>
  <c r="D304" i="1"/>
  <c r="J292" i="1" s="1"/>
  <c r="D305" i="1"/>
  <c r="J293" i="1" s="1"/>
  <c r="D306" i="1"/>
  <c r="J294" i="1" s="1"/>
  <c r="D307" i="1"/>
  <c r="J295" i="1" s="1"/>
  <c r="D308" i="1"/>
  <c r="J296" i="1" s="1"/>
  <c r="D309" i="1"/>
  <c r="J297" i="1" s="1"/>
  <c r="D310" i="1"/>
  <c r="J298" i="1" s="1"/>
  <c r="D311" i="1"/>
  <c r="J299" i="1" s="1"/>
  <c r="D312" i="1"/>
  <c r="J300" i="1" s="1"/>
  <c r="D313" i="1"/>
  <c r="J301" i="1" s="1"/>
  <c r="D314" i="1"/>
  <c r="J302" i="1" s="1"/>
  <c r="D315" i="1"/>
  <c r="J303" i="1" s="1"/>
  <c r="D316" i="1"/>
  <c r="J304" i="1" s="1"/>
  <c r="D317" i="1"/>
  <c r="J305" i="1" s="1"/>
  <c r="D318" i="1"/>
  <c r="J306" i="1" s="1"/>
  <c r="D319" i="1"/>
  <c r="J307" i="1" s="1"/>
  <c r="D320" i="1"/>
  <c r="J308" i="1" s="1"/>
  <c r="D321" i="1"/>
  <c r="J309" i="1" s="1"/>
  <c r="D322" i="1"/>
  <c r="J310" i="1" s="1"/>
  <c r="D323" i="1"/>
  <c r="J311" i="1" s="1"/>
  <c r="D324" i="1"/>
  <c r="J312" i="1" s="1"/>
  <c r="D325" i="1"/>
  <c r="J313" i="1" s="1"/>
  <c r="D326" i="1"/>
  <c r="D327" i="1"/>
  <c r="J315" i="1" s="1"/>
  <c r="D328" i="1"/>
  <c r="J316" i="1" s="1"/>
  <c r="D329" i="1"/>
  <c r="J317" i="1" s="1"/>
  <c r="D330" i="1"/>
  <c r="J318" i="1" s="1"/>
  <c r="D331" i="1"/>
  <c r="J319" i="1" s="1"/>
  <c r="D332" i="1"/>
  <c r="J320" i="1" s="1"/>
  <c r="D333" i="1"/>
  <c r="J321" i="1" s="1"/>
  <c r="D334" i="1"/>
  <c r="J322" i="1" s="1"/>
  <c r="D335" i="1"/>
  <c r="J323" i="1" s="1"/>
  <c r="D336" i="1"/>
  <c r="J324" i="1" s="1"/>
  <c r="D337" i="1"/>
  <c r="J325" i="1" s="1"/>
  <c r="D338" i="1"/>
  <c r="J326" i="1" s="1"/>
  <c r="D339" i="1"/>
  <c r="J327" i="1" s="1"/>
  <c r="D340" i="1"/>
  <c r="J328" i="1" s="1"/>
  <c r="D341" i="1"/>
  <c r="J329" i="1" s="1"/>
  <c r="D342" i="1"/>
  <c r="J330" i="1" s="1"/>
  <c r="D343" i="1"/>
  <c r="J331" i="1" s="1"/>
  <c r="D344" i="1"/>
  <c r="J332" i="1" s="1"/>
  <c r="D345" i="1"/>
  <c r="J333" i="1" s="1"/>
  <c r="D346" i="1"/>
  <c r="J334" i="1" s="1"/>
  <c r="D347" i="1"/>
  <c r="J335" i="1" s="1"/>
  <c r="D348" i="1"/>
  <c r="J336" i="1" s="1"/>
  <c r="D349" i="1"/>
  <c r="J337" i="1" s="1"/>
  <c r="D350" i="1"/>
  <c r="J338" i="1" s="1"/>
  <c r="D351" i="1"/>
  <c r="J339" i="1" s="1"/>
  <c r="D352" i="1"/>
  <c r="J340" i="1" s="1"/>
  <c r="D353" i="1"/>
  <c r="J341" i="1" s="1"/>
  <c r="D354" i="1"/>
  <c r="J342" i="1" s="1"/>
  <c r="D355" i="1"/>
  <c r="J343" i="1" s="1"/>
  <c r="D356" i="1"/>
  <c r="J344" i="1" s="1"/>
  <c r="D357" i="1"/>
  <c r="J345" i="1" s="1"/>
  <c r="D358" i="1"/>
  <c r="D359" i="1"/>
  <c r="J347" i="1" s="1"/>
  <c r="D360" i="1"/>
  <c r="J348" i="1" s="1"/>
  <c r="D361" i="1"/>
  <c r="J349" i="1" s="1"/>
  <c r="D362" i="1"/>
  <c r="J350" i="1" s="1"/>
  <c r="D363" i="1"/>
  <c r="J351" i="1" s="1"/>
  <c r="D364" i="1"/>
  <c r="J352" i="1" s="1"/>
  <c r="D365" i="1"/>
  <c r="J353" i="1" s="1"/>
  <c r="D366" i="1"/>
  <c r="J354" i="1" s="1"/>
  <c r="D367" i="1"/>
  <c r="J355" i="1" s="1"/>
  <c r="D368" i="1"/>
  <c r="J356" i="1" s="1"/>
  <c r="D369" i="1"/>
  <c r="J357" i="1" s="1"/>
  <c r="D370" i="1"/>
  <c r="J358" i="1" s="1"/>
  <c r="D371" i="1"/>
  <c r="J359" i="1" s="1"/>
  <c r="D372" i="1"/>
  <c r="J360" i="1" s="1"/>
  <c r="D373" i="1"/>
  <c r="J361" i="1" s="1"/>
  <c r="D374" i="1"/>
  <c r="J362" i="1" s="1"/>
  <c r="D375" i="1"/>
  <c r="J363" i="1" s="1"/>
  <c r="D376" i="1"/>
  <c r="J364" i="1" s="1"/>
  <c r="D377" i="1"/>
  <c r="J365" i="1" s="1"/>
  <c r="D378" i="1"/>
  <c r="J366" i="1" s="1"/>
  <c r="D379" i="1"/>
  <c r="J367" i="1" s="1"/>
  <c r="D380" i="1"/>
  <c r="J368" i="1" s="1"/>
  <c r="D381" i="1"/>
  <c r="J369" i="1" s="1"/>
  <c r="D382" i="1"/>
  <c r="J370" i="1" s="1"/>
  <c r="D383" i="1"/>
  <c r="J371" i="1" s="1"/>
  <c r="D384" i="1"/>
  <c r="D385" i="1"/>
  <c r="J373" i="1" s="1"/>
  <c r="D386" i="1"/>
  <c r="J374" i="1" s="1"/>
  <c r="D387" i="1"/>
  <c r="J375" i="1" s="1"/>
  <c r="D388" i="1"/>
  <c r="J376" i="1" s="1"/>
  <c r="D389" i="1"/>
  <c r="J377" i="1" s="1"/>
  <c r="D390" i="1"/>
  <c r="J378" i="1" s="1"/>
  <c r="D391" i="1"/>
  <c r="J379" i="1" s="1"/>
  <c r="D392" i="1"/>
  <c r="J380" i="1" s="1"/>
  <c r="D393" i="1"/>
  <c r="J381" i="1" s="1"/>
  <c r="D394" i="1"/>
  <c r="J382" i="1" s="1"/>
  <c r="D395" i="1"/>
  <c r="J383" i="1" s="1"/>
  <c r="D396" i="1"/>
  <c r="J384" i="1" s="1"/>
  <c r="D397" i="1"/>
  <c r="J385" i="1" s="1"/>
  <c r="D398" i="1"/>
  <c r="J386" i="1" s="1"/>
  <c r="D399" i="1"/>
  <c r="J387" i="1" s="1"/>
  <c r="D400" i="1"/>
  <c r="J388" i="1" s="1"/>
  <c r="D401" i="1"/>
  <c r="J389" i="1" s="1"/>
  <c r="D402" i="1"/>
  <c r="J390" i="1" s="1"/>
  <c r="D403" i="1"/>
  <c r="J391" i="1" s="1"/>
  <c r="D404" i="1"/>
  <c r="J392" i="1" s="1"/>
  <c r="D405" i="1"/>
  <c r="J393" i="1" s="1"/>
  <c r="D406" i="1"/>
  <c r="J394" i="1" s="1"/>
  <c r="D407" i="1"/>
  <c r="J395" i="1" s="1"/>
  <c r="D408" i="1"/>
  <c r="J396" i="1" s="1"/>
  <c r="D409" i="1"/>
  <c r="J397" i="1" s="1"/>
  <c r="D410" i="1"/>
  <c r="J398" i="1" s="1"/>
  <c r="D411" i="1"/>
  <c r="J399" i="1" s="1"/>
  <c r="D412" i="1"/>
  <c r="D413" i="1"/>
  <c r="J401" i="1" s="1"/>
  <c r="D414" i="1"/>
  <c r="J402" i="1" s="1"/>
  <c r="D415" i="1"/>
  <c r="J403" i="1" s="1"/>
  <c r="D416" i="1"/>
  <c r="J404" i="1" s="1"/>
  <c r="D417" i="1"/>
  <c r="J405" i="1" s="1"/>
  <c r="D418" i="1"/>
  <c r="J406" i="1" s="1"/>
  <c r="D419" i="1"/>
  <c r="J407" i="1" s="1"/>
  <c r="D420" i="1"/>
  <c r="J408" i="1" s="1"/>
  <c r="D421" i="1"/>
  <c r="J409" i="1" s="1"/>
  <c r="D422" i="1"/>
  <c r="J410" i="1" s="1"/>
  <c r="D423" i="1"/>
  <c r="J411" i="1" s="1"/>
  <c r="D424" i="1"/>
  <c r="J412" i="1" s="1"/>
  <c r="D425" i="1"/>
  <c r="J413" i="1" s="1"/>
  <c r="D426" i="1"/>
  <c r="J414" i="1" s="1"/>
  <c r="D427" i="1"/>
  <c r="J415" i="1" s="1"/>
  <c r="D428" i="1"/>
  <c r="J416" i="1" s="1"/>
  <c r="D429" i="1"/>
  <c r="J417" i="1" s="1"/>
  <c r="D430" i="1"/>
  <c r="J418" i="1" s="1"/>
  <c r="D431" i="1"/>
  <c r="J419" i="1" s="1"/>
  <c r="D432" i="1"/>
  <c r="J420" i="1" s="1"/>
  <c r="D433" i="1"/>
  <c r="J421" i="1" s="1"/>
  <c r="D434" i="1"/>
  <c r="J422" i="1" s="1"/>
  <c r="D435" i="1"/>
  <c r="J423" i="1" s="1"/>
  <c r="D436" i="1"/>
  <c r="J424" i="1" s="1"/>
  <c r="D437" i="1"/>
  <c r="J425" i="1" s="1"/>
  <c r="B251" i="1"/>
  <c r="H251" i="1" s="1"/>
  <c r="C251" i="1"/>
  <c r="I251" i="1" s="1"/>
  <c r="D251" i="1"/>
  <c r="J251" i="1" s="1"/>
  <c r="B252" i="1"/>
  <c r="H252" i="1" s="1"/>
  <c r="C252" i="1"/>
  <c r="I252" i="1" s="1"/>
  <c r="D252" i="1"/>
  <c r="J252" i="1" s="1"/>
  <c r="K291" i="1" l="1"/>
  <c r="M370" i="1"/>
  <c r="M270" i="1"/>
  <c r="L370" i="1"/>
  <c r="L270" i="1"/>
  <c r="L333" i="1"/>
  <c r="L317" i="1"/>
  <c r="M415" i="1"/>
  <c r="M411" i="1"/>
  <c r="M407" i="1"/>
  <c r="M391" i="1"/>
  <c r="M387" i="1"/>
  <c r="M383" i="1"/>
  <c r="M379" i="1"/>
  <c r="M375" i="1"/>
  <c r="M363" i="1"/>
  <c r="M359" i="1"/>
  <c r="M355" i="1"/>
  <c r="M351" i="1"/>
  <c r="M347" i="1"/>
  <c r="M339" i="1"/>
  <c r="M335" i="1"/>
  <c r="M331" i="1"/>
  <c r="M327" i="1"/>
  <c r="M323" i="1"/>
  <c r="M319" i="1"/>
  <c r="M315" i="1"/>
  <c r="M307" i="1"/>
  <c r="M299" i="1"/>
  <c r="M295" i="1"/>
  <c r="M291" i="1"/>
  <c r="M275" i="1"/>
  <c r="M263" i="1"/>
  <c r="M259" i="1"/>
  <c r="L407" i="1"/>
  <c r="L391" i="1"/>
  <c r="L387" i="1"/>
  <c r="L383" i="1"/>
  <c r="L379" i="1"/>
  <c r="L375" i="1"/>
  <c r="L363" i="1"/>
  <c r="L359" i="1"/>
  <c r="L355" i="1"/>
  <c r="L351" i="1"/>
  <c r="L347" i="1"/>
  <c r="L339" i="1"/>
  <c r="L335" i="1"/>
  <c r="L331" i="1"/>
  <c r="L327" i="1"/>
  <c r="L323" i="1"/>
  <c r="L319" i="1"/>
  <c r="L315" i="1"/>
  <c r="L275" i="1"/>
  <c r="L263" i="1"/>
  <c r="L259" i="1"/>
  <c r="K419" i="1"/>
  <c r="K415" i="1"/>
  <c r="K411" i="1"/>
  <c r="K407" i="1"/>
  <c r="K403" i="1"/>
  <c r="K391" i="1"/>
  <c r="K387" i="1"/>
  <c r="K383" i="1"/>
  <c r="K379" i="1"/>
  <c r="K375" i="1"/>
  <c r="K339" i="1"/>
  <c r="K335" i="1"/>
  <c r="K331" i="1"/>
  <c r="K327" i="1"/>
  <c r="K323" i="1"/>
  <c r="K319" i="1"/>
  <c r="K315" i="1"/>
  <c r="K307" i="1"/>
  <c r="K303" i="1"/>
  <c r="K299" i="1"/>
  <c r="K295" i="1"/>
  <c r="K251" i="1"/>
  <c r="M417" i="1"/>
  <c r="M413" i="1"/>
  <c r="M409" i="1"/>
  <c r="M405" i="1"/>
  <c r="M401" i="1"/>
  <c r="M393" i="1"/>
  <c r="N392" i="1" s="1"/>
  <c r="M389" i="1"/>
  <c r="N388" i="1" s="1"/>
  <c r="M385" i="1"/>
  <c r="M381" i="1"/>
  <c r="N380" i="1" s="1"/>
  <c r="M377" i="1"/>
  <c r="N376" i="1" s="1"/>
  <c r="M373" i="1"/>
  <c r="M365" i="1"/>
  <c r="M361" i="1"/>
  <c r="M357" i="1"/>
  <c r="M349" i="1"/>
  <c r="N348" i="1" s="1"/>
  <c r="M337" i="1"/>
  <c r="M333" i="1"/>
  <c r="M329" i="1"/>
  <c r="M325" i="1"/>
  <c r="M317" i="1"/>
  <c r="M305" i="1"/>
  <c r="M301" i="1"/>
  <c r="M297" i="1"/>
  <c r="M293" i="1"/>
  <c r="M281" i="1"/>
  <c r="M279" i="1"/>
  <c r="M283" i="1"/>
  <c r="M277" i="1"/>
  <c r="M273" i="1"/>
  <c r="L417" i="1"/>
  <c r="L413" i="1"/>
  <c r="L409" i="1"/>
  <c r="L405" i="1"/>
  <c r="L393" i="1"/>
  <c r="L389" i="1"/>
  <c r="L337" i="1"/>
  <c r="L329" i="1"/>
  <c r="L325" i="1"/>
  <c r="L321" i="1"/>
  <c r="K401" i="1"/>
  <c r="K365" i="1"/>
  <c r="K361" i="1"/>
  <c r="K357" i="1"/>
  <c r="K353" i="1"/>
  <c r="K349" i="1"/>
  <c r="K337" i="1"/>
  <c r="K333" i="1"/>
  <c r="K329" i="1"/>
  <c r="K325" i="1"/>
  <c r="K321" i="1"/>
  <c r="K317" i="1"/>
  <c r="K305" i="1"/>
  <c r="K301" i="1"/>
  <c r="K297" i="1"/>
  <c r="K293" i="1"/>
  <c r="K281" i="1"/>
  <c r="K279" i="1"/>
  <c r="K283" i="1"/>
  <c r="K277" i="1"/>
  <c r="M321" i="1"/>
  <c r="M424" i="1"/>
  <c r="M368" i="1"/>
  <c r="M344" i="1"/>
  <c r="M288" i="1"/>
  <c r="M268" i="1"/>
  <c r="L424" i="1"/>
  <c r="L396" i="1"/>
  <c r="L368" i="1"/>
  <c r="L312" i="1"/>
  <c r="L288" i="1"/>
  <c r="L268" i="1"/>
  <c r="K424" i="1"/>
  <c r="K396" i="1"/>
  <c r="L251" i="1"/>
  <c r="L415" i="1"/>
  <c r="L299" i="1"/>
  <c r="K363" i="1"/>
  <c r="K359" i="1"/>
  <c r="K355" i="1"/>
  <c r="K351" i="1"/>
  <c r="K347" i="1"/>
  <c r="K275" i="1"/>
  <c r="K263" i="1"/>
  <c r="K259" i="1"/>
  <c r="K398" i="1"/>
  <c r="K370" i="1"/>
  <c r="K342" i="1"/>
  <c r="K270" i="1"/>
  <c r="K273" i="1"/>
  <c r="K265" i="1"/>
  <c r="K261" i="1"/>
  <c r="K344" i="1"/>
  <c r="K312" i="1"/>
  <c r="K288" i="1"/>
  <c r="M419" i="1"/>
  <c r="L403" i="1"/>
  <c r="L303" i="1"/>
  <c r="L291" i="1"/>
  <c r="K268" i="1"/>
  <c r="K286" i="1"/>
  <c r="K310" i="1"/>
  <c r="K368" i="1"/>
  <c r="K373" i="1"/>
  <c r="K377" i="1"/>
  <c r="K381" i="1"/>
  <c r="K385" i="1"/>
  <c r="K389" i="1"/>
  <c r="K393" i="1"/>
  <c r="M422" i="1"/>
  <c r="M398" i="1"/>
  <c r="M342" i="1"/>
  <c r="M310" i="1"/>
  <c r="M286" i="1"/>
  <c r="L422" i="1"/>
  <c r="L398" i="1"/>
  <c r="L342" i="1"/>
  <c r="L310" i="1"/>
  <c r="L286" i="1"/>
  <c r="K422" i="1"/>
  <c r="L419" i="1"/>
  <c r="L307" i="1"/>
  <c r="L295" i="1"/>
  <c r="M353" i="1"/>
  <c r="M265" i="1"/>
  <c r="M261" i="1"/>
  <c r="L401" i="1"/>
  <c r="L385" i="1"/>
  <c r="L381" i="1"/>
  <c r="L377" i="1"/>
  <c r="L373" i="1"/>
  <c r="L365" i="1"/>
  <c r="L361" i="1"/>
  <c r="L357" i="1"/>
  <c r="L353" i="1"/>
  <c r="L349" i="1"/>
  <c r="L305" i="1"/>
  <c r="L301" i="1"/>
  <c r="L297" i="1"/>
  <c r="L293" i="1"/>
  <c r="L281" i="1"/>
  <c r="L279" i="1"/>
  <c r="L283" i="1"/>
  <c r="L277" i="1"/>
  <c r="L273" i="1"/>
  <c r="L265" i="1"/>
  <c r="L261" i="1"/>
  <c r="K417" i="1"/>
  <c r="K413" i="1"/>
  <c r="K409" i="1"/>
  <c r="K405" i="1"/>
  <c r="M403" i="1"/>
  <c r="M303" i="1"/>
  <c r="L411" i="1"/>
  <c r="M251" i="1"/>
  <c r="M396" i="1"/>
  <c r="M312" i="1"/>
  <c r="N311" i="1" s="1"/>
  <c r="L344" i="1"/>
  <c r="C56" i="6"/>
  <c r="P280" i="1" l="1"/>
  <c r="AB124" i="1" s="1"/>
  <c r="AH124" i="1" s="1"/>
  <c r="P276" i="1"/>
  <c r="AB122" i="1" s="1"/>
  <c r="AH122" i="1" s="1"/>
  <c r="P274" i="1"/>
  <c r="AB120" i="1" s="1"/>
  <c r="AH120" i="1" s="1"/>
  <c r="AL110" i="1" s="1"/>
  <c r="M87" i="3" s="1"/>
  <c r="AB125" i="1"/>
  <c r="AH125" i="1" s="1"/>
  <c r="P278" i="1"/>
  <c r="AB123" i="1" s="1"/>
  <c r="AH123" i="1" s="1"/>
  <c r="AL111" i="1" s="1"/>
  <c r="M88" i="3" s="1"/>
  <c r="N276" i="1"/>
  <c r="N328" i="1"/>
  <c r="N369" i="1"/>
  <c r="N356" i="1"/>
  <c r="N332" i="1"/>
  <c r="N352" i="1"/>
  <c r="N269" i="1"/>
  <c r="N406" i="1"/>
  <c r="N320" i="1"/>
  <c r="N292" i="1"/>
  <c r="N316" i="1"/>
  <c r="N336" i="1"/>
  <c r="N298" i="1"/>
  <c r="N410" i="1"/>
  <c r="N282" i="1"/>
  <c r="N287" i="1"/>
  <c r="N280" i="1"/>
  <c r="N322" i="1"/>
  <c r="N338" i="1"/>
  <c r="P374" i="1"/>
  <c r="AB158" i="1" s="1"/>
  <c r="AH158" i="1" s="1"/>
  <c r="AL141" i="1" s="1"/>
  <c r="M118" i="3" s="1"/>
  <c r="N278" i="1"/>
  <c r="N294" i="1"/>
  <c r="N358" i="1"/>
  <c r="N423" i="1"/>
  <c r="N274" i="1"/>
  <c r="N386" i="1"/>
  <c r="N414" i="1"/>
  <c r="N343" i="1"/>
  <c r="N324" i="1"/>
  <c r="P330" i="1"/>
  <c r="AB143" i="1" s="1"/>
  <c r="AH143" i="1" s="1"/>
  <c r="AL127" i="1" s="1"/>
  <c r="M104" i="3" s="1"/>
  <c r="P262" i="1"/>
  <c r="AB118" i="1" s="1"/>
  <c r="AH118" i="1" s="1"/>
  <c r="AL108" i="1" s="1"/>
  <c r="M85" i="3" s="1"/>
  <c r="P320" i="1"/>
  <c r="AB138" i="1" s="1"/>
  <c r="AH138" i="1" s="1"/>
  <c r="AL122" i="1" s="1"/>
  <c r="M99" i="3" s="1"/>
  <c r="N412" i="1"/>
  <c r="N326" i="1"/>
  <c r="N300" i="1"/>
  <c r="N302" i="1"/>
  <c r="P408" i="1"/>
  <c r="AB173" i="1" s="1"/>
  <c r="AH173" i="1" s="1"/>
  <c r="AL154" i="1" s="1"/>
  <c r="M131" i="3" s="1"/>
  <c r="P358" i="1"/>
  <c r="AB154" i="1" s="1"/>
  <c r="AH154" i="1" s="1"/>
  <c r="AL137" i="1" s="1"/>
  <c r="M114" i="3" s="1"/>
  <c r="N260" i="1"/>
  <c r="P324" i="1"/>
  <c r="AB140" i="1" s="1"/>
  <c r="AH140" i="1" s="1"/>
  <c r="AL124" i="1" s="1"/>
  <c r="M101" i="3" s="1"/>
  <c r="N306" i="1"/>
  <c r="N360" i="1"/>
  <c r="N416" i="1"/>
  <c r="P322" i="1"/>
  <c r="AB139" i="1" s="1"/>
  <c r="AH139" i="1" s="1"/>
  <c r="AL123" i="1" s="1"/>
  <c r="M100" i="3" s="1"/>
  <c r="P338" i="1"/>
  <c r="AB147" i="1" s="1"/>
  <c r="AH147" i="1" s="1"/>
  <c r="AL131" i="1" s="1"/>
  <c r="M108" i="3" s="1"/>
  <c r="N330" i="1"/>
  <c r="P296" i="1"/>
  <c r="AB129" i="1" s="1"/>
  <c r="AH129" i="1" s="1"/>
  <c r="P354" i="1"/>
  <c r="AB152" i="1" s="1"/>
  <c r="AH152" i="1" s="1"/>
  <c r="AL135" i="1" s="1"/>
  <c r="M112" i="3" s="1"/>
  <c r="P412" i="1"/>
  <c r="AB175" i="1" s="1"/>
  <c r="AH175" i="1" s="1"/>
  <c r="AL156" i="1" s="1"/>
  <c r="M133" i="3" s="1"/>
  <c r="P362" i="1"/>
  <c r="AB156" i="1" s="1"/>
  <c r="AH156" i="1" s="1"/>
  <c r="AL139" i="1" s="1"/>
  <c r="M116" i="3" s="1"/>
  <c r="N264" i="1"/>
  <c r="P382" i="1"/>
  <c r="AB163" i="1" s="1"/>
  <c r="AH163" i="1" s="1"/>
  <c r="AL145" i="1" s="1"/>
  <c r="M122" i="3" s="1"/>
  <c r="P328" i="1"/>
  <c r="AB142" i="1" s="1"/>
  <c r="AH142" i="1" s="1"/>
  <c r="AL126" i="1" s="1"/>
  <c r="M103" i="3" s="1"/>
  <c r="P336" i="1"/>
  <c r="AB146" i="1" s="1"/>
  <c r="AH146" i="1" s="1"/>
  <c r="AL130" i="1" s="1"/>
  <c r="M107" i="3" s="1"/>
  <c r="N364" i="1"/>
  <c r="N384" i="1"/>
  <c r="P326" i="1"/>
  <c r="AB141" i="1" s="1"/>
  <c r="AH141" i="1" s="1"/>
  <c r="AL125" i="1" s="1"/>
  <c r="M102" i="3" s="1"/>
  <c r="N318" i="1"/>
  <c r="N334" i="1"/>
  <c r="N378" i="1"/>
  <c r="P300" i="1"/>
  <c r="AB131" i="1" s="1"/>
  <c r="AH131" i="1" s="1"/>
  <c r="AL116" i="1" s="1"/>
  <c r="M93" i="3" s="1"/>
  <c r="N362" i="1"/>
  <c r="P416" i="1"/>
  <c r="AB177" i="1" s="1"/>
  <c r="AH177" i="1" s="1"/>
  <c r="AL158" i="1" s="1"/>
  <c r="M135" i="3" s="1"/>
  <c r="P304" i="1"/>
  <c r="AB133" i="1" s="1"/>
  <c r="AH133" i="1" s="1"/>
  <c r="AL118" i="1" s="1"/>
  <c r="M95" i="3" s="1"/>
  <c r="P392" i="1"/>
  <c r="AB168" i="1" s="1"/>
  <c r="AH168" i="1" s="1"/>
  <c r="AL150" i="1" s="1"/>
  <c r="M127" i="3" s="1"/>
  <c r="P294" i="1"/>
  <c r="AB128" i="1" s="1"/>
  <c r="AH128" i="1" s="1"/>
  <c r="P318" i="1"/>
  <c r="AB137" i="1" s="1"/>
  <c r="AH137" i="1" s="1"/>
  <c r="AL121" i="1" s="1"/>
  <c r="M98" i="3" s="1"/>
  <c r="P334" i="1"/>
  <c r="AB145" i="1" s="1"/>
  <c r="AH145" i="1" s="1"/>
  <c r="AL129" i="1" s="1"/>
  <c r="M106" i="3" s="1"/>
  <c r="N296" i="1"/>
  <c r="N350" i="1"/>
  <c r="N374" i="1"/>
  <c r="N390" i="1"/>
  <c r="N408" i="1"/>
  <c r="N402" i="1"/>
  <c r="P404" i="1"/>
  <c r="AB171" i="1" s="1"/>
  <c r="AH171" i="1" s="1"/>
  <c r="AL152" i="1" s="1"/>
  <c r="M129" i="3" s="1"/>
  <c r="P350" i="1"/>
  <c r="AB150" i="1" s="1"/>
  <c r="AH150" i="1" s="1"/>
  <c r="AL133" i="1" s="1"/>
  <c r="M110" i="3" s="1"/>
  <c r="P364" i="1"/>
  <c r="AB157" i="1" s="1"/>
  <c r="AH157" i="1" s="1"/>
  <c r="AL140" i="1" s="1"/>
  <c r="M117" i="3" s="1"/>
  <c r="N382" i="1"/>
  <c r="N418" i="1"/>
  <c r="P423" i="1"/>
  <c r="P302" i="1"/>
  <c r="AB132" i="1" s="1"/>
  <c r="AH132" i="1" s="1"/>
  <c r="AL117" i="1" s="1"/>
  <c r="M94" i="3" s="1"/>
  <c r="P348" i="1"/>
  <c r="AB148" i="1" s="1"/>
  <c r="AH148" i="1" s="1"/>
  <c r="AL132" i="1" s="1"/>
  <c r="M109" i="3" s="1"/>
  <c r="N262" i="1"/>
  <c r="P292" i="1"/>
  <c r="AB126" i="1" s="1"/>
  <c r="AH126" i="1" s="1"/>
  <c r="AL112" i="1" s="1"/>
  <c r="M89" i="3" s="1"/>
  <c r="P306" i="1"/>
  <c r="AB134" i="1" s="1"/>
  <c r="AH134" i="1" s="1"/>
  <c r="AL119" i="1" s="1"/>
  <c r="M96" i="3" s="1"/>
  <c r="P388" i="1"/>
  <c r="AB166" i="1" s="1"/>
  <c r="AH166" i="1" s="1"/>
  <c r="AL148" i="1" s="1"/>
  <c r="M125" i="3" s="1"/>
  <c r="P402" i="1"/>
  <c r="AB169" i="1" s="1"/>
  <c r="AH169" i="1" s="1"/>
  <c r="AL151" i="1" s="1"/>
  <c r="M128" i="3" s="1"/>
  <c r="P390" i="1"/>
  <c r="AB167" i="1" s="1"/>
  <c r="AH167" i="1" s="1"/>
  <c r="AL149" i="1" s="1"/>
  <c r="M126" i="3" s="1"/>
  <c r="P384" i="1"/>
  <c r="AB164" i="1" s="1"/>
  <c r="AH164" i="1" s="1"/>
  <c r="AL146" i="1" s="1"/>
  <c r="M123" i="3" s="1"/>
  <c r="P316" i="1"/>
  <c r="AB135" i="1" s="1"/>
  <c r="AH135" i="1" s="1"/>
  <c r="AL120" i="1" s="1"/>
  <c r="M97" i="3" s="1"/>
  <c r="P332" i="1"/>
  <c r="AB144" i="1" s="1"/>
  <c r="AH144" i="1" s="1"/>
  <c r="AL128" i="1" s="1"/>
  <c r="M105" i="3" s="1"/>
  <c r="N404" i="1"/>
  <c r="N354" i="1"/>
  <c r="P380" i="1"/>
  <c r="AB162" i="1" s="1"/>
  <c r="AH162" i="1" s="1"/>
  <c r="AL144" i="1" s="1"/>
  <c r="M121" i="3" s="1"/>
  <c r="P343" i="1"/>
  <c r="P298" i="1"/>
  <c r="AB130" i="1" s="1"/>
  <c r="AH130" i="1" s="1"/>
  <c r="AL115" i="1" s="1"/>
  <c r="M92" i="3" s="1"/>
  <c r="P410" i="1"/>
  <c r="AB174" i="1" s="1"/>
  <c r="AH174" i="1" s="1"/>
  <c r="AL155" i="1" s="1"/>
  <c r="M132" i="3" s="1"/>
  <c r="P352" i="1"/>
  <c r="AB151" i="1" s="1"/>
  <c r="AH151" i="1" s="1"/>
  <c r="AL134" i="1" s="1"/>
  <c r="M111" i="3" s="1"/>
  <c r="P406" i="1"/>
  <c r="AB172" i="1" s="1"/>
  <c r="AH172" i="1" s="1"/>
  <c r="AL153" i="1" s="1"/>
  <c r="M130" i="3" s="1"/>
  <c r="P369" i="1"/>
  <c r="P386" i="1"/>
  <c r="AB165" i="1" s="1"/>
  <c r="AH165" i="1" s="1"/>
  <c r="AL147" i="1" s="1"/>
  <c r="M124" i="3" s="1"/>
  <c r="N304" i="1"/>
  <c r="P376" i="1"/>
  <c r="AB160" i="1" s="1"/>
  <c r="AH160" i="1" s="1"/>
  <c r="AL142" i="1" s="1"/>
  <c r="M119" i="3" s="1"/>
  <c r="P260" i="1"/>
  <c r="P356" i="1"/>
  <c r="AB153" i="1" s="1"/>
  <c r="AH153" i="1" s="1"/>
  <c r="AL136" i="1" s="1"/>
  <c r="M113" i="3" s="1"/>
  <c r="P414" i="1"/>
  <c r="AB176" i="1" s="1"/>
  <c r="AH176" i="1" s="1"/>
  <c r="AL157" i="1" s="1"/>
  <c r="M134" i="3" s="1"/>
  <c r="P397" i="1"/>
  <c r="P311" i="1"/>
  <c r="N397" i="1"/>
  <c r="P287" i="1"/>
  <c r="P378" i="1"/>
  <c r="AB161" i="1" s="1"/>
  <c r="AH161" i="1" s="1"/>
  <c r="AL143" i="1" s="1"/>
  <c r="M120" i="3" s="1"/>
  <c r="P264" i="1"/>
  <c r="AB119" i="1" s="1"/>
  <c r="AH119" i="1" s="1"/>
  <c r="AL109" i="1" s="1"/>
  <c r="M86" i="3" s="1"/>
  <c r="P360" i="1"/>
  <c r="AB155" i="1" s="1"/>
  <c r="AH155" i="1" s="1"/>
  <c r="AL138" i="1" s="1"/>
  <c r="M115" i="3" s="1"/>
  <c r="P269" i="1"/>
  <c r="P418" i="1"/>
  <c r="AB178" i="1" s="1"/>
  <c r="AH178" i="1" s="1"/>
  <c r="AL159" i="1" s="1"/>
  <c r="M136" i="3" s="1"/>
  <c r="K49" i="6"/>
  <c r="K45" i="6"/>
  <c r="K40" i="6"/>
  <c r="K36" i="6"/>
  <c r="I49" i="6"/>
  <c r="H48" i="6"/>
  <c r="H44" i="6"/>
  <c r="I45" i="6" s="1"/>
  <c r="H39" i="6"/>
  <c r="I40" i="6" s="1"/>
  <c r="H35" i="6"/>
  <c r="I36" i="6" s="1"/>
  <c r="AL114" i="1" l="1"/>
  <c r="M91" i="3" s="1"/>
  <c r="AL113" i="1"/>
  <c r="M90" i="3" s="1"/>
  <c r="G95" i="5"/>
  <c r="F95" i="5"/>
  <c r="E95" i="5"/>
  <c r="G94" i="5"/>
  <c r="F94" i="5"/>
  <c r="E94" i="5"/>
  <c r="E93" i="5"/>
  <c r="F93" i="5" s="1"/>
  <c r="G93" i="5" s="1"/>
  <c r="I93" i="5" s="1"/>
  <c r="G75" i="5"/>
  <c r="F75" i="5"/>
  <c r="E75" i="5"/>
  <c r="G74" i="5"/>
  <c r="F74" i="5"/>
  <c r="E74" i="5"/>
  <c r="E73" i="5"/>
  <c r="F73" i="5" s="1"/>
  <c r="G73" i="5" s="1"/>
  <c r="I73" i="5" s="1"/>
  <c r="G55" i="5"/>
  <c r="F55" i="5"/>
  <c r="E55" i="5"/>
  <c r="G54" i="5"/>
  <c r="F54" i="5"/>
  <c r="E54" i="5"/>
  <c r="E53" i="5"/>
  <c r="F53" i="5" s="1"/>
  <c r="G53" i="5" s="1"/>
  <c r="I94" i="5" l="1"/>
  <c r="J94" i="5" s="1"/>
  <c r="I74" i="5"/>
  <c r="J74" i="5" s="1"/>
  <c r="G36" i="5" l="1"/>
  <c r="G35" i="5"/>
  <c r="F36" i="5"/>
  <c r="F35" i="5"/>
  <c r="E35" i="5"/>
  <c r="E34" i="5"/>
  <c r="F34" i="5" s="1"/>
  <c r="G34" i="5" s="1"/>
  <c r="E36" i="5" l="1"/>
  <c r="H10" i="5"/>
  <c r="J10" i="5" s="1"/>
  <c r="D28" i="5" s="1"/>
  <c r="H11" i="5"/>
  <c r="J11" i="5" s="1"/>
  <c r="D47" i="5" s="1"/>
  <c r="H12" i="5"/>
  <c r="J12" i="5" s="1"/>
  <c r="D67" i="5" s="1"/>
  <c r="H17" i="5"/>
  <c r="J17" i="5" s="1"/>
  <c r="D168" i="5" s="1"/>
  <c r="D170" i="5" s="1"/>
  <c r="D178" i="5" s="1"/>
  <c r="C10" i="5"/>
  <c r="D10" i="5" s="1"/>
  <c r="D27" i="5" s="1"/>
  <c r="C11" i="5"/>
  <c r="D11" i="5" s="1"/>
  <c r="D46" i="5" s="1"/>
  <c r="C12" i="5"/>
  <c r="D12" i="5" s="1"/>
  <c r="D66" i="5" s="1"/>
  <c r="I53" i="5"/>
  <c r="I35" i="5"/>
  <c r="I34" i="5"/>
  <c r="D89" i="5" l="1"/>
  <c r="D97" i="5" s="1"/>
  <c r="D69" i="5"/>
  <c r="D77" i="5" s="1"/>
  <c r="I54" i="5"/>
  <c r="J54" i="5" s="1"/>
  <c r="D49" i="5"/>
  <c r="J35" i="5"/>
  <c r="D30" i="5"/>
  <c r="D57" i="5" l="1"/>
  <c r="D38" i="5"/>
  <c r="C26" i="3" l="1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C62" i="3"/>
  <c r="D62" i="3"/>
  <c r="E62" i="3"/>
  <c r="F62" i="3"/>
  <c r="N62" i="3"/>
  <c r="C63" i="3"/>
  <c r="D63" i="3"/>
  <c r="E63" i="3"/>
  <c r="F63" i="3"/>
  <c r="N63" i="3"/>
  <c r="C64" i="3"/>
  <c r="D64" i="3"/>
  <c r="E64" i="3"/>
  <c r="F64" i="3"/>
  <c r="N64" i="3"/>
  <c r="C65" i="3"/>
  <c r="D65" i="3"/>
  <c r="E65" i="3"/>
  <c r="F65" i="3"/>
  <c r="N65" i="3"/>
  <c r="C66" i="3"/>
  <c r="D66" i="3"/>
  <c r="E66" i="3"/>
  <c r="F66" i="3"/>
  <c r="N66" i="3"/>
  <c r="C67" i="3"/>
  <c r="D67" i="3"/>
  <c r="E67" i="3"/>
  <c r="F67" i="3"/>
  <c r="N67" i="3"/>
  <c r="C68" i="3"/>
  <c r="D68" i="3"/>
  <c r="E68" i="3"/>
  <c r="F68" i="3"/>
  <c r="N68" i="3"/>
  <c r="C69" i="3"/>
  <c r="D69" i="3"/>
  <c r="E69" i="3"/>
  <c r="F69" i="3"/>
  <c r="N69" i="3"/>
  <c r="C70" i="3"/>
  <c r="D70" i="3"/>
  <c r="E70" i="3"/>
  <c r="F70" i="3"/>
  <c r="N70" i="3"/>
  <c r="C71" i="3"/>
  <c r="D71" i="3"/>
  <c r="E71" i="3"/>
  <c r="F71" i="3"/>
  <c r="N71" i="3"/>
  <c r="C72" i="3"/>
  <c r="D72" i="3"/>
  <c r="E72" i="3"/>
  <c r="F72" i="3"/>
  <c r="N72" i="3"/>
  <c r="C73" i="3"/>
  <c r="D73" i="3"/>
  <c r="E73" i="3"/>
  <c r="F73" i="3"/>
  <c r="N73" i="3"/>
  <c r="C74" i="3"/>
  <c r="D74" i="3"/>
  <c r="E74" i="3"/>
  <c r="F74" i="3"/>
  <c r="N74" i="3"/>
  <c r="C75" i="3"/>
  <c r="D75" i="3"/>
  <c r="E75" i="3"/>
  <c r="F75" i="3"/>
  <c r="N75" i="3"/>
  <c r="C76" i="3"/>
  <c r="D76" i="3"/>
  <c r="E76" i="3"/>
  <c r="F76" i="3"/>
  <c r="N76" i="3"/>
  <c r="C77" i="3"/>
  <c r="D77" i="3"/>
  <c r="E77" i="3"/>
  <c r="F77" i="3"/>
  <c r="N77" i="3"/>
  <c r="C78" i="3"/>
  <c r="D78" i="3"/>
  <c r="E78" i="3"/>
  <c r="F78" i="3"/>
  <c r="N78" i="3"/>
  <c r="C79" i="3"/>
  <c r="D79" i="3"/>
  <c r="E79" i="3"/>
  <c r="F79" i="3"/>
  <c r="N79" i="3"/>
  <c r="C80" i="3"/>
  <c r="D80" i="3"/>
  <c r="E80" i="3"/>
  <c r="F80" i="3"/>
  <c r="N80" i="3"/>
  <c r="C81" i="3"/>
  <c r="D81" i="3"/>
  <c r="E81" i="3"/>
  <c r="F81" i="3"/>
  <c r="N81" i="3"/>
  <c r="C82" i="3"/>
  <c r="D82" i="3"/>
  <c r="E82" i="3"/>
  <c r="F82" i="3"/>
  <c r="N82" i="3"/>
  <c r="C83" i="3"/>
  <c r="D83" i="3"/>
  <c r="E83" i="3"/>
  <c r="F83" i="3"/>
  <c r="N83" i="3"/>
  <c r="C84" i="3"/>
  <c r="D84" i="3"/>
  <c r="E84" i="3"/>
  <c r="F84" i="3"/>
  <c r="N84" i="3"/>
  <c r="R23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K6" i="1"/>
  <c r="A2" i="1"/>
  <c r="D26" i="1"/>
  <c r="J26" i="1" s="1"/>
  <c r="D27" i="1"/>
  <c r="J27" i="1" s="1"/>
  <c r="D28" i="1"/>
  <c r="J28" i="1" s="1"/>
  <c r="D29" i="1"/>
  <c r="J29" i="1" s="1"/>
  <c r="D30" i="1"/>
  <c r="J30" i="1" s="1"/>
  <c r="D31" i="1"/>
  <c r="J31" i="1" s="1"/>
  <c r="D32" i="1"/>
  <c r="J32" i="1" s="1"/>
  <c r="D33" i="1"/>
  <c r="J33" i="1" s="1"/>
  <c r="D34" i="1"/>
  <c r="J34" i="1" s="1"/>
  <c r="D35" i="1"/>
  <c r="J35" i="1" s="1"/>
  <c r="D36" i="1"/>
  <c r="J36" i="1" s="1"/>
  <c r="D37" i="1"/>
  <c r="J37" i="1" s="1"/>
  <c r="D38" i="1"/>
  <c r="J38" i="1" s="1"/>
  <c r="D39" i="1"/>
  <c r="J39" i="1" s="1"/>
  <c r="D40" i="1"/>
  <c r="J40" i="1" s="1"/>
  <c r="D41" i="1"/>
  <c r="J41" i="1" s="1"/>
  <c r="D42" i="1"/>
  <c r="J42" i="1" s="1"/>
  <c r="D43" i="1"/>
  <c r="J43" i="1" s="1"/>
  <c r="D44" i="1"/>
  <c r="J44" i="1" s="1"/>
  <c r="D45" i="1"/>
  <c r="J45" i="1" s="1"/>
  <c r="D46" i="1"/>
  <c r="J46" i="1" s="1"/>
  <c r="D47" i="1"/>
  <c r="J47" i="1" s="1"/>
  <c r="D48" i="1"/>
  <c r="J48" i="1" s="1"/>
  <c r="D49" i="1"/>
  <c r="J49" i="1" s="1"/>
  <c r="D50" i="1"/>
  <c r="J50" i="1" s="1"/>
  <c r="D51" i="1"/>
  <c r="J51" i="1" s="1"/>
  <c r="D52" i="1"/>
  <c r="J52" i="1" s="1"/>
  <c r="D53" i="1"/>
  <c r="J53" i="1" s="1"/>
  <c r="D54" i="1"/>
  <c r="J54" i="1" s="1"/>
  <c r="D55" i="1"/>
  <c r="J55" i="1" s="1"/>
  <c r="D56" i="1"/>
  <c r="J56" i="1" s="1"/>
  <c r="D57" i="1"/>
  <c r="J57" i="1" s="1"/>
  <c r="D58" i="1"/>
  <c r="J58" i="1" s="1"/>
  <c r="D59" i="1"/>
  <c r="J59" i="1" s="1"/>
  <c r="D60" i="1"/>
  <c r="J60" i="1" s="1"/>
  <c r="D61" i="1"/>
  <c r="J61" i="1" s="1"/>
  <c r="D62" i="1"/>
  <c r="J62" i="1" s="1"/>
  <c r="D63" i="1"/>
  <c r="J63" i="1" s="1"/>
  <c r="D64" i="1"/>
  <c r="J64" i="1" s="1"/>
  <c r="D65" i="1"/>
  <c r="J65" i="1" s="1"/>
  <c r="D66" i="1"/>
  <c r="J66" i="1" s="1"/>
  <c r="D67" i="1"/>
  <c r="J67" i="1" s="1"/>
  <c r="D68" i="1"/>
  <c r="J68" i="1" s="1"/>
  <c r="D69" i="1"/>
  <c r="J69" i="1" s="1"/>
  <c r="D70" i="1"/>
  <c r="J70" i="1" s="1"/>
  <c r="D71" i="1"/>
  <c r="J71" i="1" s="1"/>
  <c r="D72" i="1"/>
  <c r="J72" i="1" s="1"/>
  <c r="D73" i="1"/>
  <c r="J73" i="1" s="1"/>
  <c r="D74" i="1"/>
  <c r="J74" i="1" s="1"/>
  <c r="D75" i="1"/>
  <c r="J75" i="1" s="1"/>
  <c r="D76" i="1"/>
  <c r="J76" i="1" s="1"/>
  <c r="D77" i="1"/>
  <c r="J77" i="1" s="1"/>
  <c r="D78" i="1"/>
  <c r="J78" i="1" s="1"/>
  <c r="D79" i="1"/>
  <c r="J79" i="1" s="1"/>
  <c r="D80" i="1"/>
  <c r="J80" i="1" s="1"/>
  <c r="D81" i="1"/>
  <c r="J81" i="1" s="1"/>
  <c r="D82" i="1"/>
  <c r="J82" i="1" s="1"/>
  <c r="D83" i="1"/>
  <c r="J83" i="1" s="1"/>
  <c r="D84" i="1"/>
  <c r="J84" i="1" s="1"/>
  <c r="D85" i="1"/>
  <c r="J85" i="1" s="1"/>
  <c r="D86" i="1"/>
  <c r="J86" i="1" s="1"/>
  <c r="D87" i="1"/>
  <c r="J87" i="1" s="1"/>
  <c r="D88" i="1"/>
  <c r="J88" i="1" s="1"/>
  <c r="D89" i="1"/>
  <c r="J89" i="1" s="1"/>
  <c r="D90" i="1"/>
  <c r="J90" i="1" s="1"/>
  <c r="D91" i="1"/>
  <c r="J91" i="1" s="1"/>
  <c r="D92" i="1"/>
  <c r="J92" i="1" s="1"/>
  <c r="D93" i="1"/>
  <c r="J93" i="1" s="1"/>
  <c r="D94" i="1"/>
  <c r="J94" i="1" s="1"/>
  <c r="D95" i="1"/>
  <c r="J95" i="1" s="1"/>
  <c r="D96" i="1"/>
  <c r="J96" i="1" s="1"/>
  <c r="D97" i="1"/>
  <c r="J97" i="1" s="1"/>
  <c r="D98" i="1"/>
  <c r="J98" i="1" s="1"/>
  <c r="D99" i="1"/>
  <c r="J99" i="1" s="1"/>
  <c r="D100" i="1"/>
  <c r="J100" i="1" s="1"/>
  <c r="D101" i="1"/>
  <c r="J101" i="1" s="1"/>
  <c r="D102" i="1"/>
  <c r="J102" i="1" s="1"/>
  <c r="D103" i="1"/>
  <c r="J103" i="1" s="1"/>
  <c r="D104" i="1"/>
  <c r="J104" i="1" s="1"/>
  <c r="D105" i="1"/>
  <c r="J105" i="1" s="1"/>
  <c r="D106" i="1"/>
  <c r="J106" i="1" s="1"/>
  <c r="D107" i="1"/>
  <c r="J107" i="1" s="1"/>
  <c r="D108" i="1"/>
  <c r="J108" i="1" s="1"/>
  <c r="D109" i="1"/>
  <c r="J109" i="1" s="1"/>
  <c r="D110" i="1"/>
  <c r="J110" i="1" s="1"/>
  <c r="D111" i="1"/>
  <c r="J111" i="1" s="1"/>
  <c r="D112" i="1"/>
  <c r="J112" i="1" s="1"/>
  <c r="D113" i="1"/>
  <c r="J113" i="1" s="1"/>
  <c r="D114" i="1"/>
  <c r="J114" i="1" s="1"/>
  <c r="D115" i="1"/>
  <c r="J115" i="1" s="1"/>
  <c r="D116" i="1"/>
  <c r="J116" i="1" s="1"/>
  <c r="D117" i="1"/>
  <c r="J117" i="1" s="1"/>
  <c r="D118" i="1"/>
  <c r="J118" i="1" s="1"/>
  <c r="D119" i="1"/>
  <c r="J119" i="1" s="1"/>
  <c r="D120" i="1"/>
  <c r="J120" i="1" s="1"/>
  <c r="D121" i="1"/>
  <c r="J121" i="1" s="1"/>
  <c r="D122" i="1"/>
  <c r="J122" i="1" s="1"/>
  <c r="D123" i="1"/>
  <c r="J123" i="1" s="1"/>
  <c r="D124" i="1"/>
  <c r="J124" i="1" s="1"/>
  <c r="D125" i="1"/>
  <c r="J125" i="1" s="1"/>
  <c r="D126" i="1"/>
  <c r="J126" i="1" s="1"/>
  <c r="D127" i="1"/>
  <c r="J127" i="1" s="1"/>
  <c r="D128" i="1"/>
  <c r="J128" i="1" s="1"/>
  <c r="D129" i="1"/>
  <c r="J129" i="1" s="1"/>
  <c r="D130" i="1"/>
  <c r="J130" i="1" s="1"/>
  <c r="D131" i="1"/>
  <c r="J131" i="1" s="1"/>
  <c r="D132" i="1"/>
  <c r="J132" i="1" s="1"/>
  <c r="D133" i="1"/>
  <c r="J133" i="1" s="1"/>
  <c r="D134" i="1"/>
  <c r="J134" i="1" s="1"/>
  <c r="D135" i="1"/>
  <c r="J135" i="1" s="1"/>
  <c r="D136" i="1"/>
  <c r="J136" i="1" s="1"/>
  <c r="D137" i="1"/>
  <c r="J137" i="1" s="1"/>
  <c r="D138" i="1"/>
  <c r="J138" i="1" s="1"/>
  <c r="D139" i="1"/>
  <c r="J139" i="1" s="1"/>
  <c r="D140" i="1"/>
  <c r="J140" i="1" s="1"/>
  <c r="D141" i="1"/>
  <c r="J141" i="1" s="1"/>
  <c r="D142" i="1"/>
  <c r="J142" i="1" s="1"/>
  <c r="D143" i="1"/>
  <c r="J143" i="1" s="1"/>
  <c r="D144" i="1"/>
  <c r="J144" i="1" s="1"/>
  <c r="D145" i="1"/>
  <c r="J145" i="1" s="1"/>
  <c r="D146" i="1"/>
  <c r="J146" i="1" s="1"/>
  <c r="D147" i="1"/>
  <c r="J147" i="1" s="1"/>
  <c r="D148" i="1"/>
  <c r="J148" i="1" s="1"/>
  <c r="D149" i="1"/>
  <c r="J149" i="1" s="1"/>
  <c r="D150" i="1"/>
  <c r="J150" i="1" s="1"/>
  <c r="D151" i="1"/>
  <c r="J151" i="1" s="1"/>
  <c r="D152" i="1"/>
  <c r="J152" i="1" s="1"/>
  <c r="D153" i="1"/>
  <c r="J153" i="1" s="1"/>
  <c r="D154" i="1"/>
  <c r="J154" i="1" s="1"/>
  <c r="D155" i="1"/>
  <c r="J155" i="1" s="1"/>
  <c r="D156" i="1"/>
  <c r="J156" i="1" s="1"/>
  <c r="D157" i="1"/>
  <c r="J157" i="1" s="1"/>
  <c r="D158" i="1"/>
  <c r="J158" i="1" s="1"/>
  <c r="D159" i="1"/>
  <c r="J159" i="1" s="1"/>
  <c r="D160" i="1"/>
  <c r="J160" i="1" s="1"/>
  <c r="D161" i="1"/>
  <c r="J161" i="1" s="1"/>
  <c r="D162" i="1"/>
  <c r="J162" i="1" s="1"/>
  <c r="D163" i="1"/>
  <c r="J163" i="1" s="1"/>
  <c r="D164" i="1"/>
  <c r="J164" i="1" s="1"/>
  <c r="D165" i="1"/>
  <c r="J165" i="1" s="1"/>
  <c r="D166" i="1"/>
  <c r="J166" i="1" s="1"/>
  <c r="D167" i="1"/>
  <c r="J167" i="1" s="1"/>
  <c r="D168" i="1"/>
  <c r="J168" i="1" s="1"/>
  <c r="D169" i="1"/>
  <c r="J169" i="1" s="1"/>
  <c r="D170" i="1"/>
  <c r="J170" i="1" s="1"/>
  <c r="D171" i="1"/>
  <c r="J171" i="1" s="1"/>
  <c r="D172" i="1"/>
  <c r="J172" i="1" s="1"/>
  <c r="D173" i="1"/>
  <c r="J173" i="1" s="1"/>
  <c r="D174" i="1"/>
  <c r="J174" i="1" s="1"/>
  <c r="D175" i="1"/>
  <c r="J175" i="1" s="1"/>
  <c r="D176" i="1"/>
  <c r="J176" i="1" s="1"/>
  <c r="D177" i="1"/>
  <c r="J177" i="1" s="1"/>
  <c r="D178" i="1"/>
  <c r="J178" i="1" s="1"/>
  <c r="D179" i="1"/>
  <c r="J179" i="1" s="1"/>
  <c r="D180" i="1"/>
  <c r="J180" i="1" s="1"/>
  <c r="D181" i="1"/>
  <c r="J181" i="1" s="1"/>
  <c r="D182" i="1"/>
  <c r="J182" i="1" s="1"/>
  <c r="D183" i="1"/>
  <c r="J183" i="1" s="1"/>
  <c r="D184" i="1"/>
  <c r="J184" i="1" s="1"/>
  <c r="D185" i="1"/>
  <c r="J185" i="1" s="1"/>
  <c r="D186" i="1"/>
  <c r="J186" i="1" s="1"/>
  <c r="D187" i="1"/>
  <c r="J187" i="1" s="1"/>
  <c r="D188" i="1"/>
  <c r="J188" i="1" s="1"/>
  <c r="D189" i="1"/>
  <c r="J189" i="1" s="1"/>
  <c r="D190" i="1"/>
  <c r="J190" i="1" s="1"/>
  <c r="D191" i="1"/>
  <c r="J191" i="1" s="1"/>
  <c r="D192" i="1"/>
  <c r="J192" i="1" s="1"/>
  <c r="D193" i="1"/>
  <c r="J193" i="1" s="1"/>
  <c r="D194" i="1"/>
  <c r="J194" i="1" s="1"/>
  <c r="D195" i="1"/>
  <c r="J195" i="1" s="1"/>
  <c r="D196" i="1"/>
  <c r="J196" i="1" s="1"/>
  <c r="D197" i="1"/>
  <c r="J197" i="1" s="1"/>
  <c r="D198" i="1"/>
  <c r="J198" i="1" s="1"/>
  <c r="D199" i="1"/>
  <c r="J199" i="1" s="1"/>
  <c r="D200" i="1"/>
  <c r="J200" i="1" s="1"/>
  <c r="D201" i="1"/>
  <c r="J201" i="1" s="1"/>
  <c r="D202" i="1"/>
  <c r="J202" i="1" s="1"/>
  <c r="D203" i="1"/>
  <c r="J203" i="1" s="1"/>
  <c r="D204" i="1"/>
  <c r="J204" i="1" s="1"/>
  <c r="D205" i="1"/>
  <c r="J205" i="1" s="1"/>
  <c r="D206" i="1"/>
  <c r="J206" i="1" s="1"/>
  <c r="D207" i="1"/>
  <c r="J207" i="1" s="1"/>
  <c r="D208" i="1"/>
  <c r="J208" i="1" s="1"/>
  <c r="D209" i="1"/>
  <c r="J209" i="1" s="1"/>
  <c r="D210" i="1"/>
  <c r="J210" i="1" s="1"/>
  <c r="D211" i="1"/>
  <c r="J211" i="1" s="1"/>
  <c r="D212" i="1"/>
  <c r="J212" i="1" s="1"/>
  <c r="D213" i="1"/>
  <c r="J213" i="1" s="1"/>
  <c r="D214" i="1"/>
  <c r="J214" i="1" s="1"/>
  <c r="D215" i="1"/>
  <c r="J215" i="1" s="1"/>
  <c r="D216" i="1"/>
  <c r="J216" i="1" s="1"/>
  <c r="D217" i="1"/>
  <c r="J217" i="1" s="1"/>
  <c r="D218" i="1"/>
  <c r="J218" i="1" s="1"/>
  <c r="D219" i="1"/>
  <c r="J219" i="1" s="1"/>
  <c r="D220" i="1"/>
  <c r="J220" i="1" s="1"/>
  <c r="D221" i="1"/>
  <c r="J221" i="1" s="1"/>
  <c r="D222" i="1"/>
  <c r="J222" i="1" s="1"/>
  <c r="D223" i="1"/>
  <c r="J223" i="1" s="1"/>
  <c r="D224" i="1"/>
  <c r="J224" i="1" s="1"/>
  <c r="D225" i="1"/>
  <c r="J225" i="1" s="1"/>
  <c r="D226" i="1"/>
  <c r="J226" i="1" s="1"/>
  <c r="D227" i="1"/>
  <c r="J227" i="1" s="1"/>
  <c r="D228" i="1"/>
  <c r="J228" i="1" s="1"/>
  <c r="D229" i="1"/>
  <c r="J229" i="1" s="1"/>
  <c r="D230" i="1"/>
  <c r="J230" i="1" s="1"/>
  <c r="D231" i="1"/>
  <c r="J231" i="1" s="1"/>
  <c r="D232" i="1"/>
  <c r="J232" i="1" s="1"/>
  <c r="D233" i="1"/>
  <c r="J233" i="1" s="1"/>
  <c r="D234" i="1"/>
  <c r="J234" i="1" s="1"/>
  <c r="D235" i="1"/>
  <c r="J235" i="1" s="1"/>
  <c r="D236" i="1"/>
  <c r="J236" i="1" s="1"/>
  <c r="D237" i="1"/>
  <c r="J237" i="1" s="1"/>
  <c r="D238" i="1"/>
  <c r="J238" i="1" s="1"/>
  <c r="D239" i="1"/>
  <c r="J239" i="1" s="1"/>
  <c r="D240" i="1"/>
  <c r="J240" i="1" s="1"/>
  <c r="D241" i="1"/>
  <c r="J241" i="1" s="1"/>
  <c r="D242" i="1"/>
  <c r="J242" i="1" s="1"/>
  <c r="D243" i="1"/>
  <c r="J243" i="1" s="1"/>
  <c r="D244" i="1"/>
  <c r="J244" i="1" s="1"/>
  <c r="D245" i="1"/>
  <c r="J245" i="1" s="1"/>
  <c r="D246" i="1"/>
  <c r="J246" i="1" s="1"/>
  <c r="D247" i="1"/>
  <c r="J247" i="1" s="1"/>
  <c r="D248" i="1"/>
  <c r="J248" i="1" s="1"/>
  <c r="D249" i="1"/>
  <c r="J249" i="1" s="1"/>
  <c r="D250" i="1"/>
  <c r="J250" i="1" s="1"/>
  <c r="D253" i="1"/>
  <c r="J253" i="1" s="1"/>
  <c r="D254" i="1"/>
  <c r="J254" i="1" s="1"/>
  <c r="D255" i="1"/>
  <c r="J255" i="1" s="1"/>
  <c r="D256" i="1"/>
  <c r="J256" i="1" s="1"/>
  <c r="D257" i="1"/>
  <c r="J257" i="1" s="1"/>
  <c r="C26" i="1"/>
  <c r="I26" i="1" s="1"/>
  <c r="C27" i="1"/>
  <c r="I27" i="1" s="1"/>
  <c r="C28" i="1"/>
  <c r="I28" i="1" s="1"/>
  <c r="C29" i="1"/>
  <c r="I29" i="1" s="1"/>
  <c r="C30" i="1"/>
  <c r="I30" i="1" s="1"/>
  <c r="C31" i="1"/>
  <c r="I31" i="1" s="1"/>
  <c r="C32" i="1"/>
  <c r="I32" i="1" s="1"/>
  <c r="C33" i="1"/>
  <c r="I33" i="1" s="1"/>
  <c r="C34" i="1"/>
  <c r="I34" i="1" s="1"/>
  <c r="C35" i="1"/>
  <c r="I35" i="1" s="1"/>
  <c r="C36" i="1"/>
  <c r="I36" i="1" s="1"/>
  <c r="C37" i="1"/>
  <c r="I37" i="1" s="1"/>
  <c r="C38" i="1"/>
  <c r="I38" i="1" s="1"/>
  <c r="C39" i="1"/>
  <c r="I39" i="1" s="1"/>
  <c r="C40" i="1"/>
  <c r="I40" i="1" s="1"/>
  <c r="C41" i="1"/>
  <c r="I41" i="1" s="1"/>
  <c r="C42" i="1"/>
  <c r="I42" i="1" s="1"/>
  <c r="C43" i="1"/>
  <c r="I43" i="1" s="1"/>
  <c r="C44" i="1"/>
  <c r="I44" i="1" s="1"/>
  <c r="C45" i="1"/>
  <c r="I45" i="1" s="1"/>
  <c r="C46" i="1"/>
  <c r="I46" i="1" s="1"/>
  <c r="C47" i="1"/>
  <c r="I47" i="1" s="1"/>
  <c r="C48" i="1"/>
  <c r="I48" i="1" s="1"/>
  <c r="C49" i="1"/>
  <c r="I49" i="1" s="1"/>
  <c r="C50" i="1"/>
  <c r="I50" i="1" s="1"/>
  <c r="C51" i="1"/>
  <c r="I51" i="1" s="1"/>
  <c r="C52" i="1"/>
  <c r="I52" i="1" s="1"/>
  <c r="C53" i="1"/>
  <c r="I53" i="1" s="1"/>
  <c r="C54" i="1"/>
  <c r="I54" i="1" s="1"/>
  <c r="C55" i="1"/>
  <c r="I55" i="1" s="1"/>
  <c r="C56" i="1"/>
  <c r="I56" i="1" s="1"/>
  <c r="C57" i="1"/>
  <c r="I57" i="1" s="1"/>
  <c r="C58" i="1"/>
  <c r="I58" i="1" s="1"/>
  <c r="C59" i="1"/>
  <c r="I59" i="1" s="1"/>
  <c r="C60" i="1"/>
  <c r="I60" i="1" s="1"/>
  <c r="C61" i="1"/>
  <c r="I61" i="1" s="1"/>
  <c r="C62" i="1"/>
  <c r="I62" i="1" s="1"/>
  <c r="C63" i="1"/>
  <c r="I63" i="1" s="1"/>
  <c r="C64" i="1"/>
  <c r="I64" i="1" s="1"/>
  <c r="C65" i="1"/>
  <c r="I65" i="1" s="1"/>
  <c r="C66" i="1"/>
  <c r="I66" i="1" s="1"/>
  <c r="C67" i="1"/>
  <c r="I67" i="1" s="1"/>
  <c r="C68" i="1"/>
  <c r="I68" i="1" s="1"/>
  <c r="C69" i="1"/>
  <c r="I69" i="1" s="1"/>
  <c r="C70" i="1"/>
  <c r="I70" i="1" s="1"/>
  <c r="C71" i="1"/>
  <c r="I71" i="1" s="1"/>
  <c r="C72" i="1"/>
  <c r="I72" i="1" s="1"/>
  <c r="C73" i="1"/>
  <c r="I73" i="1" s="1"/>
  <c r="C74" i="1"/>
  <c r="I74" i="1" s="1"/>
  <c r="C75" i="1"/>
  <c r="I75" i="1" s="1"/>
  <c r="C76" i="1"/>
  <c r="I76" i="1" s="1"/>
  <c r="C77" i="1"/>
  <c r="I77" i="1" s="1"/>
  <c r="C78" i="1"/>
  <c r="I78" i="1" s="1"/>
  <c r="C79" i="1"/>
  <c r="I79" i="1" s="1"/>
  <c r="C80" i="1"/>
  <c r="I80" i="1" s="1"/>
  <c r="C81" i="1"/>
  <c r="I81" i="1" s="1"/>
  <c r="C82" i="1"/>
  <c r="I82" i="1" s="1"/>
  <c r="C83" i="1"/>
  <c r="I83" i="1" s="1"/>
  <c r="C84" i="1"/>
  <c r="I84" i="1" s="1"/>
  <c r="C85" i="1"/>
  <c r="I85" i="1" s="1"/>
  <c r="C86" i="1"/>
  <c r="I86" i="1" s="1"/>
  <c r="C87" i="1"/>
  <c r="I87" i="1" s="1"/>
  <c r="C88" i="1"/>
  <c r="I88" i="1" s="1"/>
  <c r="C89" i="1"/>
  <c r="I89" i="1" s="1"/>
  <c r="C90" i="1"/>
  <c r="I90" i="1" s="1"/>
  <c r="C91" i="1"/>
  <c r="I91" i="1" s="1"/>
  <c r="C92" i="1"/>
  <c r="I92" i="1" s="1"/>
  <c r="C93" i="1"/>
  <c r="I93" i="1" s="1"/>
  <c r="C94" i="1"/>
  <c r="I94" i="1" s="1"/>
  <c r="C95" i="1"/>
  <c r="I95" i="1" s="1"/>
  <c r="C96" i="1"/>
  <c r="I96" i="1" s="1"/>
  <c r="C97" i="1"/>
  <c r="I97" i="1" s="1"/>
  <c r="C98" i="1"/>
  <c r="I98" i="1" s="1"/>
  <c r="C99" i="1"/>
  <c r="C100" i="1"/>
  <c r="I100" i="1" s="1"/>
  <c r="C101" i="1"/>
  <c r="I101" i="1" s="1"/>
  <c r="C102" i="1"/>
  <c r="I102" i="1" s="1"/>
  <c r="C103" i="1"/>
  <c r="I103" i="1" s="1"/>
  <c r="C104" i="1"/>
  <c r="I104" i="1" s="1"/>
  <c r="C105" i="1"/>
  <c r="I105" i="1" s="1"/>
  <c r="C106" i="1"/>
  <c r="I106" i="1" s="1"/>
  <c r="C107" i="1"/>
  <c r="I107" i="1" s="1"/>
  <c r="C108" i="1"/>
  <c r="I108" i="1" s="1"/>
  <c r="C109" i="1"/>
  <c r="I109" i="1" s="1"/>
  <c r="C110" i="1"/>
  <c r="I110" i="1" s="1"/>
  <c r="C111" i="1"/>
  <c r="I111" i="1" s="1"/>
  <c r="C112" i="1"/>
  <c r="I112" i="1" s="1"/>
  <c r="C113" i="1"/>
  <c r="I113" i="1" s="1"/>
  <c r="C114" i="1"/>
  <c r="I114" i="1" s="1"/>
  <c r="C115" i="1"/>
  <c r="I115" i="1" s="1"/>
  <c r="C116" i="1"/>
  <c r="I116" i="1" s="1"/>
  <c r="C117" i="1"/>
  <c r="I117" i="1" s="1"/>
  <c r="C118" i="1"/>
  <c r="I118" i="1" s="1"/>
  <c r="C119" i="1"/>
  <c r="I119" i="1" s="1"/>
  <c r="C120" i="1"/>
  <c r="I120" i="1" s="1"/>
  <c r="C121" i="1"/>
  <c r="I121" i="1" s="1"/>
  <c r="C122" i="1"/>
  <c r="I122" i="1" s="1"/>
  <c r="C123" i="1"/>
  <c r="I123" i="1" s="1"/>
  <c r="C124" i="1"/>
  <c r="I124" i="1" s="1"/>
  <c r="C125" i="1"/>
  <c r="I125" i="1" s="1"/>
  <c r="C126" i="1"/>
  <c r="I126" i="1" s="1"/>
  <c r="C127" i="1"/>
  <c r="I127" i="1" s="1"/>
  <c r="C128" i="1"/>
  <c r="I128" i="1" s="1"/>
  <c r="C129" i="1"/>
  <c r="I129" i="1" s="1"/>
  <c r="C130" i="1"/>
  <c r="I130" i="1" s="1"/>
  <c r="C131" i="1"/>
  <c r="I131" i="1" s="1"/>
  <c r="C132" i="1"/>
  <c r="I132" i="1" s="1"/>
  <c r="C133" i="1"/>
  <c r="I133" i="1" s="1"/>
  <c r="C134" i="1"/>
  <c r="I134" i="1" s="1"/>
  <c r="C135" i="1"/>
  <c r="I135" i="1" s="1"/>
  <c r="C136" i="1"/>
  <c r="I136" i="1" s="1"/>
  <c r="C137" i="1"/>
  <c r="I137" i="1" s="1"/>
  <c r="C138" i="1"/>
  <c r="I138" i="1" s="1"/>
  <c r="C139" i="1"/>
  <c r="I139" i="1" s="1"/>
  <c r="C140" i="1"/>
  <c r="I140" i="1" s="1"/>
  <c r="C141" i="1"/>
  <c r="I141" i="1" s="1"/>
  <c r="C142" i="1"/>
  <c r="I142" i="1" s="1"/>
  <c r="C143" i="1"/>
  <c r="I143" i="1" s="1"/>
  <c r="C144" i="1"/>
  <c r="I144" i="1" s="1"/>
  <c r="C145" i="1"/>
  <c r="I145" i="1" s="1"/>
  <c r="C146" i="1"/>
  <c r="I146" i="1" s="1"/>
  <c r="C147" i="1"/>
  <c r="I147" i="1" s="1"/>
  <c r="C148" i="1"/>
  <c r="I148" i="1" s="1"/>
  <c r="C149" i="1"/>
  <c r="I149" i="1" s="1"/>
  <c r="C150" i="1"/>
  <c r="I150" i="1" s="1"/>
  <c r="C151" i="1"/>
  <c r="I151" i="1" s="1"/>
  <c r="C152" i="1"/>
  <c r="I152" i="1" s="1"/>
  <c r="C153" i="1"/>
  <c r="I153" i="1" s="1"/>
  <c r="C154" i="1"/>
  <c r="I154" i="1" s="1"/>
  <c r="C155" i="1"/>
  <c r="I155" i="1" s="1"/>
  <c r="C156" i="1"/>
  <c r="I156" i="1" s="1"/>
  <c r="C157" i="1"/>
  <c r="I157" i="1" s="1"/>
  <c r="C158" i="1"/>
  <c r="I158" i="1" s="1"/>
  <c r="C159" i="1"/>
  <c r="I159" i="1" s="1"/>
  <c r="C160" i="1"/>
  <c r="I160" i="1" s="1"/>
  <c r="C161" i="1"/>
  <c r="I161" i="1" s="1"/>
  <c r="C162" i="1"/>
  <c r="I162" i="1" s="1"/>
  <c r="C163" i="1"/>
  <c r="I163" i="1" s="1"/>
  <c r="C164" i="1"/>
  <c r="I164" i="1" s="1"/>
  <c r="C165" i="1"/>
  <c r="I165" i="1" s="1"/>
  <c r="C166" i="1"/>
  <c r="I166" i="1" s="1"/>
  <c r="C167" i="1"/>
  <c r="I167" i="1" s="1"/>
  <c r="C168" i="1"/>
  <c r="I168" i="1" s="1"/>
  <c r="C169" i="1"/>
  <c r="I169" i="1" s="1"/>
  <c r="C170" i="1"/>
  <c r="I170" i="1" s="1"/>
  <c r="C171" i="1"/>
  <c r="I171" i="1" s="1"/>
  <c r="C172" i="1"/>
  <c r="I172" i="1" s="1"/>
  <c r="C173" i="1"/>
  <c r="I173" i="1" s="1"/>
  <c r="C174" i="1"/>
  <c r="I174" i="1" s="1"/>
  <c r="C175" i="1"/>
  <c r="I175" i="1" s="1"/>
  <c r="C176" i="1"/>
  <c r="I176" i="1" s="1"/>
  <c r="C177" i="1"/>
  <c r="I177" i="1" s="1"/>
  <c r="C178" i="1"/>
  <c r="I178" i="1" s="1"/>
  <c r="C179" i="1"/>
  <c r="I179" i="1" s="1"/>
  <c r="C180" i="1"/>
  <c r="I180" i="1" s="1"/>
  <c r="C181" i="1"/>
  <c r="I181" i="1" s="1"/>
  <c r="C182" i="1"/>
  <c r="I182" i="1" s="1"/>
  <c r="C183" i="1"/>
  <c r="I183" i="1" s="1"/>
  <c r="C184" i="1"/>
  <c r="I184" i="1" s="1"/>
  <c r="C185" i="1"/>
  <c r="I185" i="1" s="1"/>
  <c r="C186" i="1"/>
  <c r="I186" i="1" s="1"/>
  <c r="C187" i="1"/>
  <c r="I187" i="1" s="1"/>
  <c r="C188" i="1"/>
  <c r="I188" i="1" s="1"/>
  <c r="C189" i="1"/>
  <c r="I189" i="1" s="1"/>
  <c r="C190" i="1"/>
  <c r="I190" i="1" s="1"/>
  <c r="C191" i="1"/>
  <c r="I191" i="1" s="1"/>
  <c r="C192" i="1"/>
  <c r="I192" i="1" s="1"/>
  <c r="C193" i="1"/>
  <c r="I193" i="1" s="1"/>
  <c r="C194" i="1"/>
  <c r="I194" i="1" s="1"/>
  <c r="C195" i="1"/>
  <c r="I195" i="1" s="1"/>
  <c r="C196" i="1"/>
  <c r="I196" i="1" s="1"/>
  <c r="C197" i="1"/>
  <c r="I197" i="1" s="1"/>
  <c r="C198" i="1"/>
  <c r="I198" i="1" s="1"/>
  <c r="C199" i="1"/>
  <c r="I199" i="1" s="1"/>
  <c r="C200" i="1"/>
  <c r="I200" i="1" s="1"/>
  <c r="C201" i="1"/>
  <c r="I201" i="1" s="1"/>
  <c r="C202" i="1"/>
  <c r="I202" i="1" s="1"/>
  <c r="C203" i="1"/>
  <c r="I203" i="1" s="1"/>
  <c r="C204" i="1"/>
  <c r="I204" i="1" s="1"/>
  <c r="C205" i="1"/>
  <c r="I205" i="1" s="1"/>
  <c r="C206" i="1"/>
  <c r="I206" i="1" s="1"/>
  <c r="C207" i="1"/>
  <c r="I207" i="1" s="1"/>
  <c r="C208" i="1"/>
  <c r="I208" i="1" s="1"/>
  <c r="C209" i="1"/>
  <c r="I209" i="1" s="1"/>
  <c r="C210" i="1"/>
  <c r="I210" i="1" s="1"/>
  <c r="C211" i="1"/>
  <c r="I211" i="1" s="1"/>
  <c r="C212" i="1"/>
  <c r="I212" i="1" s="1"/>
  <c r="C213" i="1"/>
  <c r="I213" i="1" s="1"/>
  <c r="C214" i="1"/>
  <c r="I214" i="1" s="1"/>
  <c r="C215" i="1"/>
  <c r="I215" i="1" s="1"/>
  <c r="C216" i="1"/>
  <c r="I216" i="1" s="1"/>
  <c r="C217" i="1"/>
  <c r="I217" i="1" s="1"/>
  <c r="C218" i="1"/>
  <c r="I218" i="1" s="1"/>
  <c r="C219" i="1"/>
  <c r="I219" i="1" s="1"/>
  <c r="C220" i="1"/>
  <c r="I220" i="1" s="1"/>
  <c r="C221" i="1"/>
  <c r="I221" i="1" s="1"/>
  <c r="C222" i="1"/>
  <c r="I222" i="1" s="1"/>
  <c r="C223" i="1"/>
  <c r="I223" i="1" s="1"/>
  <c r="C224" i="1"/>
  <c r="I224" i="1" s="1"/>
  <c r="C225" i="1"/>
  <c r="I225" i="1" s="1"/>
  <c r="C226" i="1"/>
  <c r="I226" i="1" s="1"/>
  <c r="C227" i="1"/>
  <c r="I227" i="1" s="1"/>
  <c r="C228" i="1"/>
  <c r="I228" i="1" s="1"/>
  <c r="C229" i="1"/>
  <c r="I229" i="1" s="1"/>
  <c r="C230" i="1"/>
  <c r="I230" i="1" s="1"/>
  <c r="C231" i="1"/>
  <c r="I231" i="1" s="1"/>
  <c r="C232" i="1"/>
  <c r="I232" i="1" s="1"/>
  <c r="C233" i="1"/>
  <c r="I233" i="1" s="1"/>
  <c r="C234" i="1"/>
  <c r="I234" i="1" s="1"/>
  <c r="C235" i="1"/>
  <c r="I235" i="1" s="1"/>
  <c r="C236" i="1"/>
  <c r="I236" i="1" s="1"/>
  <c r="C237" i="1"/>
  <c r="I237" i="1" s="1"/>
  <c r="C238" i="1"/>
  <c r="I238" i="1" s="1"/>
  <c r="C239" i="1"/>
  <c r="I239" i="1" s="1"/>
  <c r="C240" i="1"/>
  <c r="I240" i="1" s="1"/>
  <c r="C241" i="1"/>
  <c r="I241" i="1" s="1"/>
  <c r="C242" i="1"/>
  <c r="I242" i="1" s="1"/>
  <c r="C243" i="1"/>
  <c r="I243" i="1" s="1"/>
  <c r="C244" i="1"/>
  <c r="I244" i="1" s="1"/>
  <c r="C245" i="1"/>
  <c r="I245" i="1" s="1"/>
  <c r="C246" i="1"/>
  <c r="I246" i="1" s="1"/>
  <c r="C247" i="1"/>
  <c r="I247" i="1" s="1"/>
  <c r="C248" i="1"/>
  <c r="I248" i="1" s="1"/>
  <c r="C249" i="1"/>
  <c r="I249" i="1" s="1"/>
  <c r="C250" i="1"/>
  <c r="I250" i="1" s="1"/>
  <c r="C253" i="1"/>
  <c r="I253" i="1" s="1"/>
  <c r="C254" i="1"/>
  <c r="I254" i="1" s="1"/>
  <c r="C255" i="1"/>
  <c r="I255" i="1" s="1"/>
  <c r="C256" i="1"/>
  <c r="I256" i="1" s="1"/>
  <c r="C257" i="1"/>
  <c r="I257" i="1" s="1"/>
  <c r="B26" i="1"/>
  <c r="H26" i="1" s="1"/>
  <c r="B27" i="1"/>
  <c r="H27" i="1" s="1"/>
  <c r="B28" i="1"/>
  <c r="H28" i="1" s="1"/>
  <c r="B29" i="1"/>
  <c r="H29" i="1" s="1"/>
  <c r="B30" i="1"/>
  <c r="H30" i="1" s="1"/>
  <c r="B31" i="1"/>
  <c r="H31" i="1" s="1"/>
  <c r="B32" i="1"/>
  <c r="H32" i="1" s="1"/>
  <c r="B33" i="1"/>
  <c r="H33" i="1" s="1"/>
  <c r="B34" i="1"/>
  <c r="H34" i="1" s="1"/>
  <c r="B35" i="1"/>
  <c r="H35" i="1" s="1"/>
  <c r="B36" i="1"/>
  <c r="H36" i="1" s="1"/>
  <c r="B37" i="1"/>
  <c r="H37" i="1" s="1"/>
  <c r="B38" i="1"/>
  <c r="H38" i="1" s="1"/>
  <c r="B39" i="1"/>
  <c r="H39" i="1" s="1"/>
  <c r="B40" i="1"/>
  <c r="H40" i="1" s="1"/>
  <c r="B41" i="1"/>
  <c r="H41" i="1" s="1"/>
  <c r="B42" i="1"/>
  <c r="H42" i="1" s="1"/>
  <c r="B43" i="1"/>
  <c r="H43" i="1" s="1"/>
  <c r="B44" i="1"/>
  <c r="H44" i="1" s="1"/>
  <c r="B45" i="1"/>
  <c r="H45" i="1" s="1"/>
  <c r="B46" i="1"/>
  <c r="H46" i="1" s="1"/>
  <c r="B47" i="1"/>
  <c r="H47" i="1" s="1"/>
  <c r="B48" i="1"/>
  <c r="H48" i="1" s="1"/>
  <c r="B49" i="1"/>
  <c r="H49" i="1" s="1"/>
  <c r="B50" i="1"/>
  <c r="H50" i="1" s="1"/>
  <c r="B51" i="1"/>
  <c r="H51" i="1" s="1"/>
  <c r="B52" i="1"/>
  <c r="H52" i="1" s="1"/>
  <c r="B53" i="1"/>
  <c r="H53" i="1" s="1"/>
  <c r="B54" i="1"/>
  <c r="H54" i="1" s="1"/>
  <c r="B55" i="1"/>
  <c r="H55" i="1" s="1"/>
  <c r="B56" i="1"/>
  <c r="H56" i="1" s="1"/>
  <c r="B57" i="1"/>
  <c r="H57" i="1" s="1"/>
  <c r="B58" i="1"/>
  <c r="H58" i="1" s="1"/>
  <c r="B59" i="1"/>
  <c r="H59" i="1" s="1"/>
  <c r="B60" i="1"/>
  <c r="H60" i="1" s="1"/>
  <c r="B61" i="1"/>
  <c r="H61" i="1" s="1"/>
  <c r="B62" i="1"/>
  <c r="H62" i="1" s="1"/>
  <c r="B63" i="1"/>
  <c r="H63" i="1" s="1"/>
  <c r="B64" i="1"/>
  <c r="H64" i="1" s="1"/>
  <c r="B65" i="1"/>
  <c r="H65" i="1" s="1"/>
  <c r="B66" i="1"/>
  <c r="H66" i="1" s="1"/>
  <c r="B67" i="1"/>
  <c r="H67" i="1" s="1"/>
  <c r="B68" i="1"/>
  <c r="H68" i="1" s="1"/>
  <c r="B69" i="1"/>
  <c r="H69" i="1" s="1"/>
  <c r="B70" i="1"/>
  <c r="H70" i="1" s="1"/>
  <c r="B71" i="1"/>
  <c r="H71" i="1" s="1"/>
  <c r="B72" i="1"/>
  <c r="H72" i="1" s="1"/>
  <c r="B73" i="1"/>
  <c r="H73" i="1" s="1"/>
  <c r="B74" i="1"/>
  <c r="H74" i="1" s="1"/>
  <c r="B75" i="1"/>
  <c r="H75" i="1" s="1"/>
  <c r="B76" i="1"/>
  <c r="H76" i="1" s="1"/>
  <c r="B77" i="1"/>
  <c r="H77" i="1" s="1"/>
  <c r="B78" i="1"/>
  <c r="H78" i="1" s="1"/>
  <c r="B79" i="1"/>
  <c r="H79" i="1" s="1"/>
  <c r="B80" i="1"/>
  <c r="H80" i="1" s="1"/>
  <c r="B81" i="1"/>
  <c r="H81" i="1" s="1"/>
  <c r="B82" i="1"/>
  <c r="H82" i="1" s="1"/>
  <c r="B83" i="1"/>
  <c r="H83" i="1" s="1"/>
  <c r="B84" i="1"/>
  <c r="H84" i="1" s="1"/>
  <c r="B85" i="1"/>
  <c r="H85" i="1" s="1"/>
  <c r="B86" i="1"/>
  <c r="H86" i="1" s="1"/>
  <c r="B87" i="1"/>
  <c r="H87" i="1" s="1"/>
  <c r="B88" i="1"/>
  <c r="H88" i="1" s="1"/>
  <c r="B89" i="1"/>
  <c r="H89" i="1" s="1"/>
  <c r="B90" i="1"/>
  <c r="H90" i="1" s="1"/>
  <c r="B91" i="1"/>
  <c r="H91" i="1" s="1"/>
  <c r="B92" i="1"/>
  <c r="H92" i="1" s="1"/>
  <c r="B93" i="1"/>
  <c r="H93" i="1" s="1"/>
  <c r="B94" i="1"/>
  <c r="H94" i="1" s="1"/>
  <c r="B95" i="1"/>
  <c r="H95" i="1" s="1"/>
  <c r="B96" i="1"/>
  <c r="H96" i="1" s="1"/>
  <c r="B97" i="1"/>
  <c r="H97" i="1" s="1"/>
  <c r="B98" i="1"/>
  <c r="H98" i="1" s="1"/>
  <c r="B99" i="1"/>
  <c r="H99" i="1" s="1"/>
  <c r="B100" i="1"/>
  <c r="H100" i="1" s="1"/>
  <c r="B101" i="1"/>
  <c r="H101" i="1" s="1"/>
  <c r="B102" i="1"/>
  <c r="H102" i="1" s="1"/>
  <c r="B103" i="1"/>
  <c r="H103" i="1" s="1"/>
  <c r="B104" i="1"/>
  <c r="H104" i="1" s="1"/>
  <c r="B105" i="1"/>
  <c r="H105" i="1" s="1"/>
  <c r="B106" i="1"/>
  <c r="H106" i="1" s="1"/>
  <c r="B107" i="1"/>
  <c r="H107" i="1" s="1"/>
  <c r="B108" i="1"/>
  <c r="H108" i="1" s="1"/>
  <c r="B109" i="1"/>
  <c r="H109" i="1" s="1"/>
  <c r="B110" i="1"/>
  <c r="H110" i="1" s="1"/>
  <c r="B111" i="1"/>
  <c r="H111" i="1" s="1"/>
  <c r="B112" i="1"/>
  <c r="H112" i="1" s="1"/>
  <c r="B113" i="1"/>
  <c r="H113" i="1" s="1"/>
  <c r="B114" i="1"/>
  <c r="H114" i="1" s="1"/>
  <c r="B115" i="1"/>
  <c r="H115" i="1" s="1"/>
  <c r="B116" i="1"/>
  <c r="H116" i="1" s="1"/>
  <c r="B117" i="1"/>
  <c r="H117" i="1" s="1"/>
  <c r="B118" i="1"/>
  <c r="H118" i="1" s="1"/>
  <c r="B119" i="1"/>
  <c r="H119" i="1" s="1"/>
  <c r="B120" i="1"/>
  <c r="H120" i="1" s="1"/>
  <c r="B121" i="1"/>
  <c r="H121" i="1" s="1"/>
  <c r="B122" i="1"/>
  <c r="H122" i="1" s="1"/>
  <c r="B123" i="1"/>
  <c r="H123" i="1" s="1"/>
  <c r="B124" i="1"/>
  <c r="H124" i="1" s="1"/>
  <c r="B125" i="1"/>
  <c r="H125" i="1" s="1"/>
  <c r="B126" i="1"/>
  <c r="H126" i="1" s="1"/>
  <c r="B127" i="1"/>
  <c r="H127" i="1" s="1"/>
  <c r="B128" i="1"/>
  <c r="H128" i="1" s="1"/>
  <c r="B129" i="1"/>
  <c r="H129" i="1" s="1"/>
  <c r="B130" i="1"/>
  <c r="H130" i="1" s="1"/>
  <c r="B131" i="1"/>
  <c r="H131" i="1" s="1"/>
  <c r="B132" i="1"/>
  <c r="H132" i="1" s="1"/>
  <c r="B133" i="1"/>
  <c r="H133" i="1" s="1"/>
  <c r="B134" i="1"/>
  <c r="H134" i="1" s="1"/>
  <c r="B135" i="1"/>
  <c r="H135" i="1" s="1"/>
  <c r="B136" i="1"/>
  <c r="H136" i="1" s="1"/>
  <c r="B137" i="1"/>
  <c r="H137" i="1" s="1"/>
  <c r="B138" i="1"/>
  <c r="H138" i="1" s="1"/>
  <c r="B139" i="1"/>
  <c r="H139" i="1" s="1"/>
  <c r="B140" i="1"/>
  <c r="H140" i="1" s="1"/>
  <c r="B141" i="1"/>
  <c r="H141" i="1" s="1"/>
  <c r="B142" i="1"/>
  <c r="H142" i="1" s="1"/>
  <c r="B143" i="1"/>
  <c r="H143" i="1" s="1"/>
  <c r="B144" i="1"/>
  <c r="H144" i="1" s="1"/>
  <c r="B145" i="1"/>
  <c r="H145" i="1" s="1"/>
  <c r="B146" i="1"/>
  <c r="H146" i="1" s="1"/>
  <c r="B147" i="1"/>
  <c r="H147" i="1" s="1"/>
  <c r="B148" i="1"/>
  <c r="H148" i="1" s="1"/>
  <c r="B149" i="1"/>
  <c r="H149" i="1" s="1"/>
  <c r="B150" i="1"/>
  <c r="H150" i="1" s="1"/>
  <c r="B151" i="1"/>
  <c r="H151" i="1" s="1"/>
  <c r="B152" i="1"/>
  <c r="H152" i="1" s="1"/>
  <c r="B153" i="1"/>
  <c r="H153" i="1" s="1"/>
  <c r="B154" i="1"/>
  <c r="H154" i="1" s="1"/>
  <c r="B155" i="1"/>
  <c r="H155" i="1" s="1"/>
  <c r="B156" i="1"/>
  <c r="H156" i="1" s="1"/>
  <c r="B157" i="1"/>
  <c r="H157" i="1" s="1"/>
  <c r="B158" i="1"/>
  <c r="H158" i="1" s="1"/>
  <c r="B159" i="1"/>
  <c r="H159" i="1" s="1"/>
  <c r="B160" i="1"/>
  <c r="H160" i="1" s="1"/>
  <c r="B161" i="1"/>
  <c r="H161" i="1" s="1"/>
  <c r="B162" i="1"/>
  <c r="H162" i="1" s="1"/>
  <c r="B163" i="1"/>
  <c r="H163" i="1" s="1"/>
  <c r="B164" i="1"/>
  <c r="H164" i="1" s="1"/>
  <c r="B165" i="1"/>
  <c r="H165" i="1" s="1"/>
  <c r="B166" i="1"/>
  <c r="H166" i="1" s="1"/>
  <c r="B167" i="1"/>
  <c r="H167" i="1" s="1"/>
  <c r="B168" i="1"/>
  <c r="H168" i="1" s="1"/>
  <c r="B169" i="1"/>
  <c r="H169" i="1" s="1"/>
  <c r="B170" i="1"/>
  <c r="H170" i="1" s="1"/>
  <c r="B171" i="1"/>
  <c r="H171" i="1" s="1"/>
  <c r="B172" i="1"/>
  <c r="H172" i="1" s="1"/>
  <c r="B173" i="1"/>
  <c r="H173" i="1" s="1"/>
  <c r="B174" i="1"/>
  <c r="H174" i="1" s="1"/>
  <c r="B175" i="1"/>
  <c r="H175" i="1" s="1"/>
  <c r="B176" i="1"/>
  <c r="H176" i="1" s="1"/>
  <c r="B177" i="1"/>
  <c r="H177" i="1" s="1"/>
  <c r="B178" i="1"/>
  <c r="H178" i="1" s="1"/>
  <c r="B179" i="1"/>
  <c r="H179" i="1" s="1"/>
  <c r="B180" i="1"/>
  <c r="H180" i="1" s="1"/>
  <c r="B181" i="1"/>
  <c r="H181" i="1" s="1"/>
  <c r="B182" i="1"/>
  <c r="H182" i="1" s="1"/>
  <c r="B183" i="1"/>
  <c r="H183" i="1" s="1"/>
  <c r="B184" i="1"/>
  <c r="H184" i="1" s="1"/>
  <c r="B185" i="1"/>
  <c r="H185" i="1" s="1"/>
  <c r="B186" i="1"/>
  <c r="H186" i="1" s="1"/>
  <c r="B187" i="1"/>
  <c r="H187" i="1" s="1"/>
  <c r="B188" i="1"/>
  <c r="H188" i="1" s="1"/>
  <c r="B189" i="1"/>
  <c r="H189" i="1" s="1"/>
  <c r="B190" i="1"/>
  <c r="H190" i="1" s="1"/>
  <c r="B191" i="1"/>
  <c r="H191" i="1" s="1"/>
  <c r="B192" i="1"/>
  <c r="H192" i="1" s="1"/>
  <c r="B193" i="1"/>
  <c r="H193" i="1" s="1"/>
  <c r="B194" i="1"/>
  <c r="H194" i="1" s="1"/>
  <c r="B195" i="1"/>
  <c r="H195" i="1" s="1"/>
  <c r="B196" i="1"/>
  <c r="H196" i="1" s="1"/>
  <c r="B197" i="1"/>
  <c r="H197" i="1" s="1"/>
  <c r="B198" i="1"/>
  <c r="H198" i="1" s="1"/>
  <c r="B199" i="1"/>
  <c r="H199" i="1" s="1"/>
  <c r="B200" i="1"/>
  <c r="H200" i="1" s="1"/>
  <c r="B201" i="1"/>
  <c r="H201" i="1" s="1"/>
  <c r="B202" i="1"/>
  <c r="H202" i="1" s="1"/>
  <c r="B203" i="1"/>
  <c r="H203" i="1" s="1"/>
  <c r="B204" i="1"/>
  <c r="H204" i="1" s="1"/>
  <c r="B205" i="1"/>
  <c r="H205" i="1" s="1"/>
  <c r="B206" i="1"/>
  <c r="H206" i="1" s="1"/>
  <c r="B207" i="1"/>
  <c r="H207" i="1" s="1"/>
  <c r="B208" i="1"/>
  <c r="H208" i="1" s="1"/>
  <c r="B209" i="1"/>
  <c r="H209" i="1" s="1"/>
  <c r="B210" i="1"/>
  <c r="H210" i="1" s="1"/>
  <c r="B211" i="1"/>
  <c r="H211" i="1" s="1"/>
  <c r="B212" i="1"/>
  <c r="H212" i="1" s="1"/>
  <c r="B213" i="1"/>
  <c r="H213" i="1" s="1"/>
  <c r="B214" i="1"/>
  <c r="H214" i="1" s="1"/>
  <c r="B215" i="1"/>
  <c r="H215" i="1" s="1"/>
  <c r="B216" i="1"/>
  <c r="H216" i="1" s="1"/>
  <c r="B217" i="1"/>
  <c r="H217" i="1" s="1"/>
  <c r="B218" i="1"/>
  <c r="H218" i="1" s="1"/>
  <c r="B219" i="1"/>
  <c r="H219" i="1" s="1"/>
  <c r="B220" i="1"/>
  <c r="H220" i="1" s="1"/>
  <c r="B221" i="1"/>
  <c r="H221" i="1" s="1"/>
  <c r="B222" i="1"/>
  <c r="H222" i="1" s="1"/>
  <c r="B223" i="1"/>
  <c r="H223" i="1" s="1"/>
  <c r="B224" i="1"/>
  <c r="H224" i="1" s="1"/>
  <c r="B225" i="1"/>
  <c r="H225" i="1" s="1"/>
  <c r="B226" i="1"/>
  <c r="H226" i="1" s="1"/>
  <c r="B227" i="1"/>
  <c r="H227" i="1" s="1"/>
  <c r="B228" i="1"/>
  <c r="H228" i="1" s="1"/>
  <c r="B229" i="1"/>
  <c r="H229" i="1" s="1"/>
  <c r="B230" i="1"/>
  <c r="H230" i="1" s="1"/>
  <c r="B231" i="1"/>
  <c r="H231" i="1" s="1"/>
  <c r="B232" i="1"/>
  <c r="H232" i="1" s="1"/>
  <c r="B233" i="1"/>
  <c r="H233" i="1" s="1"/>
  <c r="B234" i="1"/>
  <c r="H234" i="1" s="1"/>
  <c r="B235" i="1"/>
  <c r="H235" i="1" s="1"/>
  <c r="B236" i="1"/>
  <c r="H236" i="1" s="1"/>
  <c r="B237" i="1"/>
  <c r="H237" i="1" s="1"/>
  <c r="B238" i="1"/>
  <c r="H238" i="1" s="1"/>
  <c r="B239" i="1"/>
  <c r="H239" i="1" s="1"/>
  <c r="B240" i="1"/>
  <c r="H240" i="1" s="1"/>
  <c r="B241" i="1"/>
  <c r="H241" i="1" s="1"/>
  <c r="B242" i="1"/>
  <c r="H242" i="1" s="1"/>
  <c r="B243" i="1"/>
  <c r="H243" i="1" s="1"/>
  <c r="B244" i="1"/>
  <c r="H244" i="1" s="1"/>
  <c r="B245" i="1"/>
  <c r="H245" i="1" s="1"/>
  <c r="B246" i="1"/>
  <c r="H246" i="1" s="1"/>
  <c r="B247" i="1"/>
  <c r="H247" i="1" s="1"/>
  <c r="B248" i="1"/>
  <c r="H248" i="1" s="1"/>
  <c r="B249" i="1"/>
  <c r="H249" i="1" s="1"/>
  <c r="B250" i="1"/>
  <c r="H250" i="1" s="1"/>
  <c r="B253" i="1"/>
  <c r="H253" i="1" s="1"/>
  <c r="B254" i="1"/>
  <c r="H254" i="1" s="1"/>
  <c r="B255" i="1"/>
  <c r="H255" i="1" s="1"/>
  <c r="B256" i="1"/>
  <c r="H256" i="1" s="1"/>
  <c r="B257" i="1"/>
  <c r="H257" i="1" s="1"/>
  <c r="W211" i="1"/>
  <c r="W209" i="1"/>
  <c r="W207" i="1"/>
  <c r="W205" i="1"/>
  <c r="W203" i="1"/>
  <c r="W201" i="1"/>
  <c r="W199" i="1"/>
  <c r="W197" i="1"/>
  <c r="W195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I99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K254" i="1" l="1"/>
  <c r="M254" i="1"/>
  <c r="L256" i="1"/>
  <c r="K247" i="1"/>
  <c r="K243" i="1"/>
  <c r="K239" i="1"/>
  <c r="L249" i="1"/>
  <c r="L245" i="1"/>
  <c r="L241" i="1"/>
  <c r="L237" i="1"/>
  <c r="M247" i="1"/>
  <c r="M243" i="1"/>
  <c r="M239" i="1"/>
  <c r="L247" i="1"/>
  <c r="L243" i="1"/>
  <c r="L239" i="1"/>
  <c r="K249" i="1"/>
  <c r="K256" i="1"/>
  <c r="L254" i="1"/>
  <c r="M256" i="1"/>
  <c r="K245" i="1"/>
  <c r="K241" i="1"/>
  <c r="K237" i="1"/>
  <c r="M249" i="1"/>
  <c r="M245" i="1"/>
  <c r="M241" i="1"/>
  <c r="M237" i="1"/>
  <c r="G7" i="1"/>
  <c r="G11" i="1"/>
  <c r="G9" i="1"/>
  <c r="G13" i="1"/>
  <c r="M138" i="1"/>
  <c r="L190" i="1"/>
  <c r="M82" i="1"/>
  <c r="M166" i="1"/>
  <c r="L67" i="1"/>
  <c r="M210" i="1"/>
  <c r="M54" i="1"/>
  <c r="M110" i="1"/>
  <c r="L175" i="1"/>
  <c r="M190" i="1"/>
  <c r="K110" i="1"/>
  <c r="K82" i="1"/>
  <c r="L103" i="1"/>
  <c r="L27" i="1"/>
  <c r="L82" i="1"/>
  <c r="L80" i="1"/>
  <c r="L207" i="1"/>
  <c r="K67" i="1"/>
  <c r="L35" i="1"/>
  <c r="L39" i="1"/>
  <c r="K99" i="1"/>
  <c r="M131" i="1"/>
  <c r="K39" i="1"/>
  <c r="M63" i="1"/>
  <c r="K27" i="1"/>
  <c r="K164" i="1"/>
  <c r="K212" i="1"/>
  <c r="K136" i="1"/>
  <c r="K108" i="1"/>
  <c r="K52" i="1"/>
  <c r="L43" i="1"/>
  <c r="L47" i="1"/>
  <c r="K80" i="1"/>
  <c r="L131" i="1"/>
  <c r="K166" i="1"/>
  <c r="L63" i="1"/>
  <c r="L71" i="1"/>
  <c r="L75" i="1"/>
  <c r="M59" i="1"/>
  <c r="K31" i="1"/>
  <c r="K43" i="1"/>
  <c r="M47" i="1"/>
  <c r="K71" i="1"/>
  <c r="M75" i="1"/>
  <c r="M87" i="1"/>
  <c r="M91" i="1"/>
  <c r="M95" i="1"/>
  <c r="K103" i="1"/>
  <c r="K115" i="1"/>
  <c r="K119" i="1"/>
  <c r="K123" i="1"/>
  <c r="K127" i="1"/>
  <c r="K138" i="1"/>
  <c r="K143" i="1"/>
  <c r="M147" i="1"/>
  <c r="M151" i="1"/>
  <c r="M155" i="1"/>
  <c r="M159" i="1"/>
  <c r="K227" i="1"/>
  <c r="M35" i="1"/>
  <c r="M27" i="1"/>
  <c r="K35" i="1"/>
  <c r="M39" i="1"/>
  <c r="K59" i="1"/>
  <c r="K63" i="1"/>
  <c r="M67" i="1"/>
  <c r="M99" i="1"/>
  <c r="K131" i="1"/>
  <c r="K171" i="1"/>
  <c r="K175" i="1"/>
  <c r="K183" i="1"/>
  <c r="K195" i="1"/>
  <c r="K203" i="1"/>
  <c r="K207" i="1"/>
  <c r="K215" i="1"/>
  <c r="K223" i="1"/>
  <c r="K234" i="1"/>
  <c r="K210" i="1"/>
  <c r="K190" i="1"/>
  <c r="K54" i="1"/>
  <c r="L232" i="1"/>
  <c r="L164" i="1"/>
  <c r="L136" i="1"/>
  <c r="L108" i="1"/>
  <c r="L52" i="1"/>
  <c r="M234" i="1"/>
  <c r="M31" i="1"/>
  <c r="M43" i="1"/>
  <c r="K47" i="1"/>
  <c r="M71" i="1"/>
  <c r="K75" i="1"/>
  <c r="K87" i="1"/>
  <c r="K91" i="1"/>
  <c r="K95" i="1"/>
  <c r="M103" i="1"/>
  <c r="M115" i="1"/>
  <c r="M119" i="1"/>
  <c r="M123" i="1"/>
  <c r="M127" i="1"/>
  <c r="M143" i="1"/>
  <c r="K147" i="1"/>
  <c r="K151" i="1"/>
  <c r="K155" i="1"/>
  <c r="K159" i="1"/>
  <c r="L188" i="1"/>
  <c r="K199" i="1"/>
  <c r="L219" i="1"/>
  <c r="M201" i="1"/>
  <c r="M169" i="1"/>
  <c r="K93" i="1"/>
  <c r="K61" i="1"/>
  <c r="L99" i="1"/>
  <c r="K117" i="1"/>
  <c r="K125" i="1"/>
  <c r="L143" i="1"/>
  <c r="L171" i="1"/>
  <c r="L203" i="1"/>
  <c r="L223" i="1"/>
  <c r="L234" i="1"/>
  <c r="L210" i="1"/>
  <c r="L166" i="1"/>
  <c r="L138" i="1"/>
  <c r="L110" i="1"/>
  <c r="L54" i="1"/>
  <c r="L31" i="1"/>
  <c r="L59" i="1"/>
  <c r="K69" i="1"/>
  <c r="K77" i="1"/>
  <c r="L87" i="1"/>
  <c r="L95" i="1"/>
  <c r="L115" i="1"/>
  <c r="L123" i="1"/>
  <c r="K133" i="1"/>
  <c r="K141" i="1"/>
  <c r="L151" i="1"/>
  <c r="L159" i="1"/>
  <c r="L183" i="1"/>
  <c r="K188" i="1"/>
  <c r="L195" i="1"/>
  <c r="L215" i="1"/>
  <c r="K219" i="1"/>
  <c r="L227" i="1"/>
  <c r="K85" i="1"/>
  <c r="K157" i="1"/>
  <c r="K149" i="1"/>
  <c r="K232" i="1"/>
  <c r="K37" i="1"/>
  <c r="K45" i="1"/>
  <c r="L91" i="1"/>
  <c r="K101" i="1"/>
  <c r="L119" i="1"/>
  <c r="L127" i="1"/>
  <c r="L147" i="1"/>
  <c r="L155" i="1"/>
  <c r="L179" i="1"/>
  <c r="L199" i="1"/>
  <c r="M225" i="1"/>
  <c r="M217" i="1"/>
  <c r="M193" i="1"/>
  <c r="M185" i="1"/>
  <c r="M229" i="1"/>
  <c r="M221" i="1"/>
  <c r="M205" i="1"/>
  <c r="M197" i="1"/>
  <c r="M181" i="1"/>
  <c r="M173" i="1"/>
  <c r="M177" i="1"/>
  <c r="M153" i="1"/>
  <c r="L85" i="1"/>
  <c r="L33" i="1"/>
  <c r="L49" i="1"/>
  <c r="L65" i="1"/>
  <c r="L97" i="1"/>
  <c r="L113" i="1"/>
  <c r="L129" i="1"/>
  <c r="L145" i="1"/>
  <c r="L161" i="1"/>
  <c r="L173" i="1"/>
  <c r="L181" i="1"/>
  <c r="L197" i="1"/>
  <c r="L205" i="1"/>
  <c r="L221" i="1"/>
  <c r="L229" i="1"/>
  <c r="L37" i="1"/>
  <c r="L69" i="1"/>
  <c r="L133" i="1"/>
  <c r="L93" i="1"/>
  <c r="L125" i="1"/>
  <c r="L141" i="1"/>
  <c r="L157" i="1"/>
  <c r="L212" i="1"/>
  <c r="L101" i="1"/>
  <c r="L149" i="1"/>
  <c r="L117" i="1"/>
  <c r="K33" i="1"/>
  <c r="K49" i="1"/>
  <c r="K65" i="1"/>
  <c r="K97" i="1"/>
  <c r="K113" i="1"/>
  <c r="K129" i="1"/>
  <c r="K145" i="1"/>
  <c r="K161" i="1"/>
  <c r="K173" i="1"/>
  <c r="K181" i="1"/>
  <c r="K197" i="1"/>
  <c r="K205" i="1"/>
  <c r="K221" i="1"/>
  <c r="K229" i="1"/>
  <c r="K41" i="1"/>
  <c r="K57" i="1"/>
  <c r="K73" i="1"/>
  <c r="K89" i="1"/>
  <c r="K105" i="1"/>
  <c r="K121" i="1"/>
  <c r="K153" i="1"/>
  <c r="K169" i="1"/>
  <c r="K177" i="1"/>
  <c r="K185" i="1"/>
  <c r="K193" i="1"/>
  <c r="K201" i="1"/>
  <c r="K217" i="1"/>
  <c r="K225" i="1"/>
  <c r="M121" i="1"/>
  <c r="M105" i="1"/>
  <c r="M89" i="1"/>
  <c r="M73" i="1"/>
  <c r="N72" i="1" s="1"/>
  <c r="M57" i="1"/>
  <c r="M41" i="1"/>
  <c r="M149" i="1"/>
  <c r="M133" i="1"/>
  <c r="M117" i="1"/>
  <c r="M101" i="1"/>
  <c r="M85" i="1"/>
  <c r="M69" i="1"/>
  <c r="M37" i="1"/>
  <c r="M161" i="1"/>
  <c r="M145" i="1"/>
  <c r="M129" i="1"/>
  <c r="M113" i="1"/>
  <c r="M97" i="1"/>
  <c r="M65" i="1"/>
  <c r="M49" i="1"/>
  <c r="M33" i="1"/>
  <c r="N32" i="1" s="1"/>
  <c r="M157" i="1"/>
  <c r="M141" i="1"/>
  <c r="M125" i="1"/>
  <c r="M93" i="1"/>
  <c r="N94" i="1" s="1"/>
  <c r="M77" i="1"/>
  <c r="N76" i="1" s="1"/>
  <c r="M61" i="1"/>
  <c r="M45" i="1"/>
  <c r="M29" i="1"/>
  <c r="L29" i="1"/>
  <c r="L45" i="1"/>
  <c r="L61" i="1"/>
  <c r="L77" i="1"/>
  <c r="L41" i="1"/>
  <c r="L57" i="1"/>
  <c r="L73" i="1"/>
  <c r="L89" i="1"/>
  <c r="L105" i="1"/>
  <c r="L121" i="1"/>
  <c r="L153" i="1"/>
  <c r="L169" i="1"/>
  <c r="L177" i="1"/>
  <c r="L185" i="1"/>
  <c r="L193" i="1"/>
  <c r="L201" i="1"/>
  <c r="L217" i="1"/>
  <c r="L225" i="1"/>
  <c r="M52" i="1"/>
  <c r="M80" i="1"/>
  <c r="M232" i="1"/>
  <c r="M212" i="1"/>
  <c r="M188" i="1"/>
  <c r="N189" i="1" s="1"/>
  <c r="M108" i="1"/>
  <c r="M136" i="1"/>
  <c r="M164" i="1"/>
  <c r="M171" i="1"/>
  <c r="M175" i="1"/>
  <c r="M179" i="1"/>
  <c r="M183" i="1"/>
  <c r="M195" i="1"/>
  <c r="M199" i="1"/>
  <c r="M203" i="1"/>
  <c r="M207" i="1"/>
  <c r="M215" i="1"/>
  <c r="M219" i="1"/>
  <c r="M223" i="1"/>
  <c r="M227" i="1"/>
  <c r="K179" i="1"/>
  <c r="K29" i="1"/>
  <c r="N255" i="1" l="1"/>
  <c r="N240" i="1"/>
  <c r="N238" i="1"/>
  <c r="P250" i="1"/>
  <c r="P248" i="1"/>
  <c r="AB114" i="1" s="1"/>
  <c r="AH114" i="1" s="1"/>
  <c r="N244" i="1"/>
  <c r="P244" i="1"/>
  <c r="AB112" i="1" s="1"/>
  <c r="AH112" i="1" s="1"/>
  <c r="N246" i="1"/>
  <c r="P238" i="1"/>
  <c r="AB108" i="1" s="1"/>
  <c r="AH108" i="1" s="1"/>
  <c r="N170" i="1"/>
  <c r="P240" i="1"/>
  <c r="AB110" i="1" s="1"/>
  <c r="AH110" i="1" s="1"/>
  <c r="P246" i="1"/>
  <c r="AB113" i="1" s="1"/>
  <c r="AH113" i="1" s="1"/>
  <c r="N242" i="1"/>
  <c r="P255" i="1"/>
  <c r="N248" i="1"/>
  <c r="N250" i="1"/>
  <c r="P242" i="1"/>
  <c r="AB111" i="1" s="1"/>
  <c r="AH111" i="1" s="1"/>
  <c r="N96" i="1"/>
  <c r="N150" i="1"/>
  <c r="N198" i="1"/>
  <c r="N194" i="1"/>
  <c r="P184" i="1"/>
  <c r="AB91" i="1" s="1"/>
  <c r="AH91" i="1" s="1"/>
  <c r="N81" i="1"/>
  <c r="N53" i="1"/>
  <c r="H8" i="1"/>
  <c r="N165" i="1"/>
  <c r="H12" i="1"/>
  <c r="K7" i="1" s="1"/>
  <c r="N211" i="1"/>
  <c r="N137" i="1"/>
  <c r="N130" i="1"/>
  <c r="P98" i="1"/>
  <c r="AB57" i="1" s="1"/>
  <c r="AH57" i="1" s="1"/>
  <c r="N218" i="1"/>
  <c r="N132" i="1"/>
  <c r="P160" i="1"/>
  <c r="AB82" i="1" s="1"/>
  <c r="AH82" i="1" s="1"/>
  <c r="N88" i="1"/>
  <c r="N144" i="1"/>
  <c r="P189" i="1"/>
  <c r="P146" i="1"/>
  <c r="AB75" i="1" s="1"/>
  <c r="AH75" i="1" s="1"/>
  <c r="N74" i="1"/>
  <c r="N184" i="1"/>
  <c r="N100" i="1"/>
  <c r="N40" i="1"/>
  <c r="P128" i="1"/>
  <c r="AB69" i="1" s="1"/>
  <c r="AH69" i="1" s="1"/>
  <c r="N64" i="1"/>
  <c r="N109" i="1"/>
  <c r="N124" i="1"/>
  <c r="N154" i="1"/>
  <c r="N86" i="1"/>
  <c r="N34" i="1"/>
  <c r="N228" i="1"/>
  <c r="P81" i="1"/>
  <c r="P116" i="1"/>
  <c r="AB63" i="1" s="1"/>
  <c r="AH63" i="1" s="1"/>
  <c r="P206" i="1"/>
  <c r="AB99" i="1" s="1"/>
  <c r="AH99" i="1" s="1"/>
  <c r="N42" i="1"/>
  <c r="N156" i="1"/>
  <c r="P165" i="1"/>
  <c r="P182" i="1"/>
  <c r="AB90" i="1" s="1"/>
  <c r="AH90" i="1" s="1"/>
  <c r="P228" i="1"/>
  <c r="AB107" i="1" s="1"/>
  <c r="AH107" i="1" s="1"/>
  <c r="N102" i="1"/>
  <c r="P96" i="1"/>
  <c r="AB56" i="1" s="1"/>
  <c r="AH56" i="1" s="1"/>
  <c r="P48" i="1"/>
  <c r="AB38" i="1" s="1"/>
  <c r="AH38" i="1" s="1"/>
  <c r="P137" i="1"/>
  <c r="P64" i="1"/>
  <c r="AB43" i="1" s="1"/>
  <c r="AH43" i="1" s="1"/>
  <c r="P216" i="1"/>
  <c r="AB100" i="1" s="1"/>
  <c r="AH100" i="1" s="1"/>
  <c r="P176" i="1"/>
  <c r="AB87" i="1" s="1"/>
  <c r="AH87" i="1" s="1"/>
  <c r="P104" i="1"/>
  <c r="AB60" i="1" s="1"/>
  <c r="AH60" i="1" s="1"/>
  <c r="P40" i="1"/>
  <c r="AB34" i="1" s="1"/>
  <c r="AH34" i="1" s="1"/>
  <c r="N172" i="1"/>
  <c r="N216" i="1"/>
  <c r="P126" i="1"/>
  <c r="AB68" i="1" s="1"/>
  <c r="AH68" i="1" s="1"/>
  <c r="P53" i="1"/>
  <c r="N200" i="1"/>
  <c r="P158" i="1"/>
  <c r="AB81" i="1" s="1"/>
  <c r="AH81" i="1" s="1"/>
  <c r="N142" i="1"/>
  <c r="N116" i="1"/>
  <c r="N66" i="1"/>
  <c r="P34" i="1"/>
  <c r="AB31" i="1" s="1"/>
  <c r="AH31" i="1" s="1"/>
  <c r="P226" i="1"/>
  <c r="AB106" i="1" s="1"/>
  <c r="AH106" i="1" s="1"/>
  <c r="N222" i="1"/>
  <c r="N202" i="1"/>
  <c r="N44" i="1"/>
  <c r="N114" i="1"/>
  <c r="N58" i="1"/>
  <c r="P109" i="1"/>
  <c r="N98" i="1"/>
  <c r="N220" i="1"/>
  <c r="N174" i="1"/>
  <c r="P72" i="1"/>
  <c r="AB47" i="1" s="1"/>
  <c r="AH47" i="1" s="1"/>
  <c r="N60" i="1"/>
  <c r="N68" i="1"/>
  <c r="P154" i="1"/>
  <c r="AB79" i="1" s="1"/>
  <c r="AH79" i="1" s="1"/>
  <c r="P130" i="1"/>
  <c r="AB70" i="1" s="1"/>
  <c r="AH70" i="1" s="1"/>
  <c r="N176" i="1"/>
  <c r="N196" i="1"/>
  <c r="P100" i="1"/>
  <c r="AB58" i="1" s="1"/>
  <c r="AH58" i="1" s="1"/>
  <c r="P124" i="1"/>
  <c r="AB67" i="1" s="1"/>
  <c r="AH67" i="1" s="1"/>
  <c r="P198" i="1"/>
  <c r="AB95" i="1" s="1"/>
  <c r="AH95" i="1" s="1"/>
  <c r="P94" i="1"/>
  <c r="AB55" i="1" s="1"/>
  <c r="AH55" i="1" s="1"/>
  <c r="P42" i="1"/>
  <c r="AB35" i="1" s="1"/>
  <c r="AH35" i="1" s="1"/>
  <c r="N146" i="1"/>
  <c r="N148" i="1"/>
  <c r="P224" i="1"/>
  <c r="AB105" i="1" s="1"/>
  <c r="AH105" i="1" s="1"/>
  <c r="P122" i="1"/>
  <c r="AB66" i="1" s="1"/>
  <c r="AH66" i="1" s="1"/>
  <c r="P58" i="1"/>
  <c r="AB39" i="1" s="1"/>
  <c r="AH39" i="1" s="1"/>
  <c r="N206" i="1"/>
  <c r="P148" i="1"/>
  <c r="AB76" i="1" s="1"/>
  <c r="AH76" i="1" s="1"/>
  <c r="P220" i="1"/>
  <c r="AB103" i="1" s="1"/>
  <c r="AH103" i="1" s="1"/>
  <c r="P132" i="1"/>
  <c r="AB71" i="1" s="1"/>
  <c r="AH71" i="1" s="1"/>
  <c r="P86" i="1"/>
  <c r="AB50" i="1" s="1"/>
  <c r="AH50" i="1" s="1"/>
  <c r="P102" i="1"/>
  <c r="AB59" i="1" s="1"/>
  <c r="AH59" i="1" s="1"/>
  <c r="N70" i="1"/>
  <c r="N62" i="1"/>
  <c r="P28" i="1"/>
  <c r="AB28" i="1" s="1"/>
  <c r="AH28" i="1" s="1"/>
  <c r="N178" i="1"/>
  <c r="N233" i="1"/>
  <c r="P44" i="1"/>
  <c r="AB36" i="1" s="1"/>
  <c r="AH36" i="1" s="1"/>
  <c r="N36" i="1"/>
  <c r="N118" i="1"/>
  <c r="N120" i="1"/>
  <c r="P200" i="1"/>
  <c r="AB96" i="1" s="1"/>
  <c r="AH96" i="1" s="1"/>
  <c r="P88" i="1"/>
  <c r="AB52" i="1" s="1"/>
  <c r="AH52" i="1" s="1"/>
  <c r="P222" i="1"/>
  <c r="AB104" i="1" s="1"/>
  <c r="AH104" i="1" s="1"/>
  <c r="P172" i="1"/>
  <c r="AB85" i="1" s="1"/>
  <c r="AH85" i="1" s="1"/>
  <c r="P114" i="1"/>
  <c r="AB61" i="1" s="1"/>
  <c r="AH61" i="1" s="1"/>
  <c r="P32" i="1"/>
  <c r="AB30" i="1" s="1"/>
  <c r="AH30" i="1" s="1"/>
  <c r="P211" i="1"/>
  <c r="P92" i="1"/>
  <c r="AB54" i="1" s="1"/>
  <c r="AH54" i="1" s="1"/>
  <c r="P196" i="1"/>
  <c r="AB94" i="1" s="1"/>
  <c r="AH94" i="1" s="1"/>
  <c r="P66" i="1"/>
  <c r="AB44" i="1" s="1"/>
  <c r="AH44" i="1" s="1"/>
  <c r="N152" i="1"/>
  <c r="N180" i="1"/>
  <c r="N224" i="1"/>
  <c r="P178" i="1"/>
  <c r="AB88" i="1" s="1"/>
  <c r="AH88" i="1" s="1"/>
  <c r="P36" i="1"/>
  <c r="AB32" i="1" s="1"/>
  <c r="AH32" i="1" s="1"/>
  <c r="P194" i="1"/>
  <c r="AB92" i="1" s="1"/>
  <c r="AH92" i="1" s="1"/>
  <c r="P150" i="1"/>
  <c r="AB77" i="1" s="1"/>
  <c r="AH77" i="1" s="1"/>
  <c r="P68" i="1"/>
  <c r="AB45" i="1" s="1"/>
  <c r="AH45" i="1" s="1"/>
  <c r="P233" i="1"/>
  <c r="P60" i="1"/>
  <c r="AB41" i="1" s="1"/>
  <c r="AH41" i="1" s="1"/>
  <c r="P218" i="1"/>
  <c r="AB102" i="1" s="1"/>
  <c r="AH102" i="1" s="1"/>
  <c r="P156" i="1"/>
  <c r="AB80" i="1" s="1"/>
  <c r="AH80" i="1" s="1"/>
  <c r="N126" i="1"/>
  <c r="N104" i="1"/>
  <c r="P74" i="1"/>
  <c r="AB48" i="1" s="1"/>
  <c r="AH48" i="1" s="1"/>
  <c r="N30" i="1"/>
  <c r="P202" i="1"/>
  <c r="AB97" i="1" s="1"/>
  <c r="AH97" i="1" s="1"/>
  <c r="P170" i="1"/>
  <c r="AB83" i="1" s="1"/>
  <c r="AH83" i="1" s="1"/>
  <c r="P62" i="1"/>
  <c r="AB42" i="1" s="1"/>
  <c r="AH42" i="1" s="1"/>
  <c r="N28" i="1"/>
  <c r="N158" i="1"/>
  <c r="P142" i="1"/>
  <c r="AB72" i="1" s="1"/>
  <c r="AH72" i="1" s="1"/>
  <c r="P118" i="1"/>
  <c r="AB64" i="1" s="1"/>
  <c r="AH64" i="1" s="1"/>
  <c r="N90" i="1"/>
  <c r="N46" i="1"/>
  <c r="N226" i="1"/>
  <c r="N204" i="1"/>
  <c r="N182" i="1"/>
  <c r="N160" i="1"/>
  <c r="N122" i="1"/>
  <c r="N92" i="1"/>
  <c r="N48" i="1"/>
  <c r="P204" i="1"/>
  <c r="AB98" i="1" s="1"/>
  <c r="AH98" i="1" s="1"/>
  <c r="P174" i="1"/>
  <c r="AB86" i="1" s="1"/>
  <c r="AH86" i="1" s="1"/>
  <c r="P152" i="1"/>
  <c r="AB78" i="1" s="1"/>
  <c r="AH78" i="1" s="1"/>
  <c r="P144" i="1"/>
  <c r="AB74" i="1" s="1"/>
  <c r="AH74" i="1" s="1"/>
  <c r="P70" i="1"/>
  <c r="AB46" i="1" s="1"/>
  <c r="AH46" i="1" s="1"/>
  <c r="N128" i="1"/>
  <c r="N38" i="1"/>
  <c r="P180" i="1"/>
  <c r="AB89" i="1" s="1"/>
  <c r="AH89" i="1" s="1"/>
  <c r="P120" i="1"/>
  <c r="AB65" i="1" s="1"/>
  <c r="AH65" i="1" s="1"/>
  <c r="P90" i="1"/>
  <c r="AB53" i="1" s="1"/>
  <c r="AH53" i="1" s="1"/>
  <c r="P76" i="1"/>
  <c r="AB49" i="1" s="1"/>
  <c r="AH49" i="1" s="1"/>
  <c r="P46" i="1"/>
  <c r="AB37" i="1" s="1"/>
  <c r="AH37" i="1" s="1"/>
  <c r="P38" i="1"/>
  <c r="AB33" i="1" s="1"/>
  <c r="AH33" i="1" s="1"/>
  <c r="P30" i="1"/>
  <c r="AB29" i="1" s="1"/>
  <c r="AH29" i="1" s="1"/>
  <c r="AL48" i="1" l="1"/>
  <c r="M25" i="3" s="1"/>
  <c r="AL74" i="1"/>
  <c r="M51" i="3" s="1"/>
  <c r="AL61" i="1"/>
  <c r="M38" i="3" s="1"/>
  <c r="AL41" i="1"/>
  <c r="M18" i="3" s="1"/>
  <c r="AL47" i="1"/>
  <c r="M24" i="3" s="1"/>
  <c r="AL95" i="1"/>
  <c r="M72" i="3" s="1"/>
  <c r="AL73" i="1"/>
  <c r="M50" i="3" s="1"/>
  <c r="AL88" i="1"/>
  <c r="M65" i="3" s="1"/>
  <c r="AL59" i="1"/>
  <c r="M36" i="3" s="1"/>
  <c r="AL90" i="1"/>
  <c r="M67" i="3" s="1"/>
  <c r="AL36" i="1"/>
  <c r="M13" i="3" s="1"/>
  <c r="AL68" i="1"/>
  <c r="M45" i="3" s="1"/>
  <c r="AL39" i="1"/>
  <c r="M16" i="3" s="1"/>
  <c r="AL64" i="1"/>
  <c r="M41" i="3" s="1"/>
  <c r="AL67" i="1"/>
  <c r="M44" i="3" s="1"/>
  <c r="AL46" i="1"/>
  <c r="M23" i="3" s="1"/>
  <c r="AL94" i="1"/>
  <c r="M71" i="3" s="1"/>
  <c r="AL54" i="1"/>
  <c r="M31" i="3" s="1"/>
  <c r="AL60" i="1"/>
  <c r="M37" i="3" s="1"/>
  <c r="AL105" i="1"/>
  <c r="M82" i="3" s="1"/>
  <c r="AL51" i="1"/>
  <c r="M28" i="3" s="1"/>
  <c r="AL81" i="1"/>
  <c r="M58" i="3" s="1"/>
  <c r="AL69" i="1"/>
  <c r="M46" i="3" s="1"/>
  <c r="AL79" i="1"/>
  <c r="M56" i="3" s="1"/>
  <c r="AL40" i="1"/>
  <c r="M17" i="3" s="1"/>
  <c r="AL87" i="1"/>
  <c r="M64" i="3" s="1"/>
  <c r="AL52" i="1"/>
  <c r="M29" i="3" s="1"/>
  <c r="AL80" i="1"/>
  <c r="M57" i="3" s="1"/>
  <c r="AL96" i="1"/>
  <c r="M73" i="3" s="1"/>
  <c r="AL63" i="1"/>
  <c r="M40" i="3" s="1"/>
  <c r="AL35" i="1"/>
  <c r="M12" i="3" s="1"/>
  <c r="AL56" i="1"/>
  <c r="M33" i="3" s="1"/>
  <c r="AL75" i="1"/>
  <c r="M52" i="3" s="1"/>
  <c r="AL34" i="1"/>
  <c r="M11" i="3" s="1"/>
  <c r="AL42" i="1"/>
  <c r="M19" i="3" s="1"/>
  <c r="AL66" i="1"/>
  <c r="M43" i="3" s="1"/>
  <c r="AL55" i="1"/>
  <c r="M32" i="3" s="1"/>
  <c r="AL102" i="1"/>
  <c r="M79" i="3" s="1"/>
  <c r="AL104" i="1"/>
  <c r="M81" i="3" s="1"/>
  <c r="AL29" i="1"/>
  <c r="M6" i="3" s="1"/>
  <c r="AL33" i="1"/>
  <c r="M10" i="3" s="1"/>
  <c r="AL62" i="1"/>
  <c r="M39" i="3" s="1"/>
  <c r="AL45" i="1"/>
  <c r="M22" i="3" s="1"/>
  <c r="AL92" i="1"/>
  <c r="M69" i="3" s="1"/>
  <c r="AL91" i="1"/>
  <c r="M68" i="3" s="1"/>
  <c r="AL32" i="1"/>
  <c r="M9" i="3" s="1"/>
  <c r="AL97" i="1"/>
  <c r="M74" i="3" s="1"/>
  <c r="AL57" i="1"/>
  <c r="M34" i="3" s="1"/>
  <c r="AL72" i="1"/>
  <c r="M49" i="3" s="1"/>
  <c r="AL98" i="1"/>
  <c r="M75" i="3" s="1"/>
  <c r="AL53" i="1"/>
  <c r="M30" i="3" s="1"/>
  <c r="AL99" i="1"/>
  <c r="M76" i="3" s="1"/>
  <c r="AL65" i="1"/>
  <c r="M42" i="3" s="1"/>
  <c r="AL58" i="1"/>
  <c r="M35" i="3" s="1"/>
  <c r="AL100" i="1"/>
  <c r="M77" i="3" s="1"/>
  <c r="AL71" i="1"/>
  <c r="M48" i="3" s="1"/>
  <c r="AL78" i="1"/>
  <c r="M55" i="3" s="1"/>
  <c r="AL86" i="1"/>
  <c r="M63" i="3" s="1"/>
  <c r="AL37" i="1"/>
  <c r="M14" i="3" s="1"/>
  <c r="AL84" i="1"/>
  <c r="M61" i="3" s="1"/>
  <c r="AL70" i="1"/>
  <c r="M47" i="3" s="1"/>
  <c r="AL76" i="1"/>
  <c r="M53" i="3" s="1"/>
  <c r="AL44" i="1"/>
  <c r="M21" i="3" s="1"/>
  <c r="AL83" i="1"/>
  <c r="M60" i="3" s="1"/>
  <c r="AL43" i="1"/>
  <c r="M20" i="3" s="1"/>
  <c r="AL30" i="1"/>
  <c r="M7" i="3" s="1"/>
  <c r="AL50" i="1"/>
  <c r="M27" i="3" s="1"/>
  <c r="AL28" i="1"/>
  <c r="M5" i="3" s="1"/>
  <c r="AL49" i="1"/>
  <c r="M26" i="3" s="1"/>
  <c r="AL89" i="1"/>
  <c r="M66" i="3" s="1"/>
  <c r="AL31" i="1"/>
  <c r="M8" i="3" s="1"/>
  <c r="AL77" i="1"/>
  <c r="M54" i="3" s="1"/>
  <c r="AL82" i="1"/>
  <c r="M59" i="3" s="1"/>
  <c r="AL38" i="1"/>
  <c r="M15" i="3" s="1"/>
  <c r="AL85" i="1"/>
  <c r="M62" i="3" s="1"/>
  <c r="AL93" i="1"/>
  <c r="M70" i="3" s="1"/>
  <c r="AL103" i="1"/>
  <c r="M80" i="3" s="1"/>
  <c r="AL101" i="1"/>
  <c r="M78" i="3" s="1"/>
  <c r="AL106" i="1"/>
  <c r="M83" i="3" s="1"/>
  <c r="AB115" i="1"/>
  <c r="AH115" i="1" s="1"/>
  <c r="K8" i="1"/>
  <c r="O23" i="1" s="1"/>
  <c r="O27" i="1" s="1"/>
  <c r="Y28" i="1" s="1"/>
  <c r="AL107" i="1" l="1"/>
  <c r="M84" i="3" s="1"/>
  <c r="O29" i="1"/>
  <c r="Y29" i="1" l="1"/>
  <c r="O31" i="1"/>
  <c r="O33" i="1" l="1"/>
  <c r="Y30" i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Y31" i="1" l="1"/>
  <c r="O35" i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Y32" i="1" l="1"/>
  <c r="O37" i="1"/>
  <c r="O39" i="1" l="1"/>
  <c r="Y33" i="1"/>
  <c r="O25" i="1"/>
  <c r="O41" i="1" l="1"/>
  <c r="Y34" i="1"/>
  <c r="Y35" i="1" l="1"/>
  <c r="O43" i="1"/>
  <c r="Y36" i="1" l="1"/>
  <c r="O45" i="1"/>
  <c r="O47" i="1" l="1"/>
  <c r="Y37" i="1"/>
  <c r="Y38" i="1" l="1"/>
  <c r="O49" i="1"/>
  <c r="O57" i="1" l="1"/>
  <c r="O59" i="1" s="1"/>
  <c r="Y39" i="1"/>
  <c r="O61" i="1" l="1"/>
  <c r="Y41" i="1"/>
  <c r="Y42" i="1" l="1"/>
  <c r="O63" i="1"/>
  <c r="Y43" i="1" l="1"/>
  <c r="O65" i="1"/>
  <c r="O67" i="1" l="1"/>
  <c r="Y44" i="1"/>
  <c r="O69" i="1" l="1"/>
  <c r="Y45" i="1"/>
  <c r="O71" i="1" l="1"/>
  <c r="Y46" i="1"/>
  <c r="Y47" i="1" l="1"/>
  <c r="O73" i="1"/>
  <c r="O75" i="1" l="1"/>
  <c r="Y48" i="1"/>
  <c r="Y49" i="1" l="1"/>
  <c r="O77" i="1"/>
  <c r="O85" i="1" l="1"/>
  <c r="O87" i="1" s="1"/>
  <c r="Y50" i="1"/>
  <c r="Y52" i="1" l="1"/>
  <c r="O89" i="1"/>
  <c r="O91" i="1" l="1"/>
  <c r="Y53" i="1"/>
  <c r="O93" i="1" l="1"/>
  <c r="Y54" i="1"/>
  <c r="Y55" i="1" l="1"/>
  <c r="O95" i="1"/>
  <c r="Y56" i="1" l="1"/>
  <c r="O97" i="1"/>
  <c r="O99" i="1" l="1"/>
  <c r="Y57" i="1"/>
  <c r="O101" i="1" l="1"/>
  <c r="Y58" i="1"/>
  <c r="Y59" i="1" l="1"/>
  <c r="O103" i="1"/>
  <c r="Y60" i="1" l="1"/>
  <c r="O105" i="1"/>
  <c r="O113" i="1" l="1"/>
  <c r="O115" i="1" s="1"/>
  <c r="Y61" i="1"/>
  <c r="Y63" i="1" l="1"/>
  <c r="O117" i="1"/>
  <c r="O119" i="1" l="1"/>
  <c r="Y64" i="1"/>
  <c r="Y65" i="1" l="1"/>
  <c r="O121" i="1"/>
  <c r="O123" i="1" l="1"/>
  <c r="Y66" i="1"/>
  <c r="Y67" i="1" l="1"/>
  <c r="O125" i="1"/>
  <c r="O127" i="1" l="1"/>
  <c r="Y68" i="1"/>
  <c r="Y69" i="1" l="1"/>
  <c r="O129" i="1"/>
  <c r="Y70" i="1" l="1"/>
  <c r="O131" i="1"/>
  <c r="Y71" i="1" l="1"/>
  <c r="O133" i="1"/>
  <c r="O141" i="1" l="1"/>
  <c r="O143" i="1" s="1"/>
  <c r="Y72" i="1"/>
  <c r="O145" i="1" l="1"/>
  <c r="Y74" i="1"/>
  <c r="Y75" i="1" l="1"/>
  <c r="O147" i="1"/>
  <c r="Y76" i="1" l="1"/>
  <c r="O149" i="1"/>
  <c r="O151" i="1" l="1"/>
  <c r="Y77" i="1"/>
  <c r="Y78" i="1" l="1"/>
  <c r="O153" i="1"/>
  <c r="Y79" i="1" l="1"/>
  <c r="O155" i="1"/>
  <c r="Y80" i="1" l="1"/>
  <c r="O157" i="1"/>
  <c r="O159" i="1" l="1"/>
  <c r="Y81" i="1"/>
  <c r="O161" i="1" l="1"/>
  <c r="Y82" i="1"/>
  <c r="Y83" i="1" l="1"/>
  <c r="O169" i="1"/>
  <c r="O171" i="1" s="1"/>
  <c r="O173" i="1" l="1"/>
  <c r="Y85" i="1"/>
  <c r="O175" i="1" l="1"/>
  <c r="Y86" i="1"/>
  <c r="O177" i="1" l="1"/>
  <c r="Y87" i="1"/>
  <c r="O179" i="1" l="1"/>
  <c r="Y88" i="1"/>
  <c r="Y89" i="1" l="1"/>
  <c r="O181" i="1"/>
  <c r="O183" i="1" l="1"/>
  <c r="Y90" i="1"/>
  <c r="O185" i="1" l="1"/>
  <c r="Y91" i="1"/>
  <c r="O193" i="1" l="1"/>
  <c r="O195" i="1" s="1"/>
  <c r="Y92" i="1"/>
  <c r="O197" i="1" l="1"/>
  <c r="Y94" i="1"/>
  <c r="Y95" i="1" l="1"/>
  <c r="O199" i="1"/>
  <c r="Y96" i="1" l="1"/>
  <c r="O201" i="1"/>
  <c r="O203" i="1" l="1"/>
  <c r="Y97" i="1"/>
  <c r="O205" i="1" l="1"/>
  <c r="Y98" i="1"/>
  <c r="Y99" i="1" l="1"/>
  <c r="O207" i="1"/>
  <c r="Y100" i="1" l="1"/>
  <c r="O215" i="1"/>
  <c r="O217" i="1" s="1"/>
  <c r="O219" i="1" l="1"/>
  <c r="Y102" i="1"/>
  <c r="Y103" i="1" l="1"/>
  <c r="O221" i="1"/>
  <c r="O223" i="1" l="1"/>
  <c r="Y104" i="1"/>
  <c r="Y105" i="1" l="1"/>
  <c r="O225" i="1"/>
  <c r="Y106" i="1" l="1"/>
  <c r="O227" i="1"/>
  <c r="Y107" i="1" l="1"/>
  <c r="O229" i="1"/>
  <c r="O237" i="1" s="1"/>
  <c r="O239" i="1" s="1"/>
  <c r="O241" i="1" s="1"/>
  <c r="O243" i="1" s="1"/>
  <c r="O245" i="1" s="1"/>
  <c r="O247" i="1" s="1"/>
  <c r="O249" i="1" s="1"/>
  <c r="O251" i="1" s="1"/>
  <c r="O259" i="1" l="1"/>
  <c r="O261" i="1" s="1"/>
  <c r="O256" i="1"/>
  <c r="Y116" i="1"/>
  <c r="Y108" i="1"/>
  <c r="O254" i="1" l="1"/>
  <c r="Y193" i="1"/>
  <c r="O263" i="1"/>
  <c r="Y118" i="1"/>
  <c r="Y110" i="1"/>
  <c r="O265" i="1" l="1"/>
  <c r="Y119" i="1"/>
  <c r="Y111" i="1"/>
  <c r="Y120" i="1" l="1"/>
  <c r="O270" i="1"/>
  <c r="O273" i="1"/>
  <c r="O275" i="1" s="1"/>
  <c r="Y112" i="1"/>
  <c r="O277" i="1" l="1"/>
  <c r="Y122" i="1"/>
  <c r="O268" i="1"/>
  <c r="Y191" i="1"/>
  <c r="Y113" i="1"/>
  <c r="O279" i="1" l="1"/>
  <c r="Y123" i="1"/>
  <c r="Y114" i="1"/>
  <c r="O281" i="1" l="1"/>
  <c r="Y124" i="1"/>
  <c r="Y115" i="1"/>
  <c r="O283" i="1" l="1"/>
  <c r="Y125" i="1"/>
  <c r="Y195" i="1"/>
  <c r="O234" i="1"/>
  <c r="O232" i="1" s="1"/>
  <c r="Y126" i="1" l="1"/>
  <c r="O288" i="1"/>
  <c r="O291" i="1"/>
  <c r="O293" i="1" s="1"/>
  <c r="Y197" i="1"/>
  <c r="O212" i="1"/>
  <c r="O210" i="1" s="1"/>
  <c r="O286" i="1" l="1"/>
  <c r="Y189" i="1"/>
  <c r="O295" i="1"/>
  <c r="Y128" i="1"/>
  <c r="Y199" i="1"/>
  <c r="O190" i="1"/>
  <c r="O188" i="1" s="1"/>
  <c r="O297" i="1" l="1"/>
  <c r="Y129" i="1"/>
  <c r="O166" i="1"/>
  <c r="O164" i="1" s="1"/>
  <c r="Y201" i="1"/>
  <c r="O299" i="1" l="1"/>
  <c r="Y130" i="1"/>
  <c r="O138" i="1"/>
  <c r="O136" i="1" s="1"/>
  <c r="Y203" i="1"/>
  <c r="O301" i="1" l="1"/>
  <c r="Y131" i="1"/>
  <c r="O110" i="1"/>
  <c r="O108" i="1" s="1"/>
  <c r="Y205" i="1"/>
  <c r="O303" i="1" l="1"/>
  <c r="Y132" i="1"/>
  <c r="Y207" i="1"/>
  <c r="O82" i="1"/>
  <c r="O80" i="1" s="1"/>
  <c r="O305" i="1" l="1"/>
  <c r="Y133" i="1"/>
  <c r="Y209" i="1"/>
  <c r="O54" i="1"/>
  <c r="O52" i="1" s="1"/>
  <c r="Y211" i="1" s="1"/>
  <c r="O307" i="1" l="1"/>
  <c r="Y134" i="1"/>
  <c r="X22" i="1"/>
  <c r="X23" i="1" s="1"/>
  <c r="Z39" i="1" l="1"/>
  <c r="AA39" i="1" s="1"/>
  <c r="AE39" i="1" s="1"/>
  <c r="Z28" i="1"/>
  <c r="AA28" i="1" s="1"/>
  <c r="AE28" i="1" s="1"/>
  <c r="Z29" i="1"/>
  <c r="AA29" i="1" s="1"/>
  <c r="AE29" i="1" s="1"/>
  <c r="Z35" i="1"/>
  <c r="AA35" i="1" s="1"/>
  <c r="AE35" i="1" s="1"/>
  <c r="Z34" i="1"/>
  <c r="AA34" i="1" s="1"/>
  <c r="AE34" i="1" s="1"/>
  <c r="Z32" i="1"/>
  <c r="AA32" i="1" s="1"/>
  <c r="AE32" i="1" s="1"/>
  <c r="Z38" i="1"/>
  <c r="AA38" i="1" s="1"/>
  <c r="AE38" i="1" s="1"/>
  <c r="Z31" i="1"/>
  <c r="AA31" i="1" s="1"/>
  <c r="AE31" i="1" s="1"/>
  <c r="Z30" i="1"/>
  <c r="AA30" i="1" s="1"/>
  <c r="AE30" i="1" s="1"/>
  <c r="Z36" i="1"/>
  <c r="AA36" i="1" s="1"/>
  <c r="AE36" i="1" s="1"/>
  <c r="Z37" i="1"/>
  <c r="AA37" i="1" s="1"/>
  <c r="AE37" i="1" s="1"/>
  <c r="Z33" i="1"/>
  <c r="AA33" i="1" s="1"/>
  <c r="AE33" i="1" s="1"/>
  <c r="Y135" i="1"/>
  <c r="O315" i="1"/>
  <c r="O317" i="1" s="1"/>
  <c r="O312" i="1"/>
  <c r="Z50" i="1" l="1"/>
  <c r="Z61" i="1" s="1"/>
  <c r="Z68" i="1" s="1"/>
  <c r="AA68" i="1" s="1"/>
  <c r="AE68" i="1" s="1"/>
  <c r="Z44" i="1"/>
  <c r="AA44" i="1" s="1"/>
  <c r="AE44" i="1" s="1"/>
  <c r="Z47" i="1"/>
  <c r="AA47" i="1" s="1"/>
  <c r="AE47" i="1" s="1"/>
  <c r="Z48" i="1"/>
  <c r="AA48" i="1" s="1"/>
  <c r="AE48" i="1" s="1"/>
  <c r="Z43" i="1"/>
  <c r="AA43" i="1" s="1"/>
  <c r="AE43" i="1" s="1"/>
  <c r="Z49" i="1"/>
  <c r="AA49" i="1" s="1"/>
  <c r="AE49" i="1" s="1"/>
  <c r="Z42" i="1"/>
  <c r="AA42" i="1" s="1"/>
  <c r="AE42" i="1" s="1"/>
  <c r="Z45" i="1"/>
  <c r="AA45" i="1" s="1"/>
  <c r="AE45" i="1" s="1"/>
  <c r="Z41" i="1"/>
  <c r="AA41" i="1" s="1"/>
  <c r="AE41" i="1" s="1"/>
  <c r="Z46" i="1"/>
  <c r="AA46" i="1" s="1"/>
  <c r="AE46" i="1" s="1"/>
  <c r="O310" i="1"/>
  <c r="Y187" i="1"/>
  <c r="O319" i="1"/>
  <c r="Y137" i="1"/>
  <c r="Z72" i="1" l="1"/>
  <c r="Z79" i="1" s="1"/>
  <c r="AA79" i="1" s="1"/>
  <c r="AE79" i="1" s="1"/>
  <c r="AA61" i="1"/>
  <c r="AE61" i="1" s="1"/>
  <c r="Z52" i="1"/>
  <c r="AA52" i="1" s="1"/>
  <c r="AE52" i="1" s="1"/>
  <c r="Z70" i="1"/>
  <c r="AA70" i="1" s="1"/>
  <c r="AE70" i="1" s="1"/>
  <c r="Z54" i="1"/>
  <c r="AA54" i="1" s="1"/>
  <c r="AE54" i="1" s="1"/>
  <c r="Z64" i="1"/>
  <c r="AA64" i="1" s="1"/>
  <c r="AE64" i="1" s="1"/>
  <c r="Z57" i="1"/>
  <c r="AA57" i="1" s="1"/>
  <c r="AE57" i="1" s="1"/>
  <c r="Z71" i="1"/>
  <c r="AA71" i="1" s="1"/>
  <c r="AE71" i="1" s="1"/>
  <c r="Z69" i="1"/>
  <c r="AA69" i="1" s="1"/>
  <c r="AE69" i="1" s="1"/>
  <c r="Z56" i="1"/>
  <c r="AA56" i="1" s="1"/>
  <c r="AE56" i="1" s="1"/>
  <c r="AA50" i="1"/>
  <c r="AE50" i="1" s="1"/>
  <c r="Z65" i="1"/>
  <c r="AA65" i="1" s="1"/>
  <c r="AE65" i="1" s="1"/>
  <c r="Z66" i="1"/>
  <c r="AA66" i="1" s="1"/>
  <c r="AE66" i="1" s="1"/>
  <c r="Z58" i="1"/>
  <c r="AA58" i="1" s="1"/>
  <c r="AE58" i="1" s="1"/>
  <c r="Z55" i="1"/>
  <c r="AA55" i="1" s="1"/>
  <c r="AE55" i="1" s="1"/>
  <c r="Z63" i="1"/>
  <c r="AA63" i="1" s="1"/>
  <c r="AE63" i="1" s="1"/>
  <c r="Z67" i="1"/>
  <c r="AA67" i="1" s="1"/>
  <c r="AE67" i="1" s="1"/>
  <c r="Z59" i="1"/>
  <c r="AA59" i="1" s="1"/>
  <c r="AE59" i="1" s="1"/>
  <c r="Z53" i="1"/>
  <c r="AA53" i="1" s="1"/>
  <c r="AE53" i="1" s="1"/>
  <c r="Z60" i="1"/>
  <c r="AA60" i="1" s="1"/>
  <c r="AE60" i="1" s="1"/>
  <c r="O321" i="1"/>
  <c r="Y138" i="1"/>
  <c r="Z81" i="1" l="1"/>
  <c r="AA81" i="1" s="1"/>
  <c r="AE81" i="1" s="1"/>
  <c r="AA72" i="1"/>
  <c r="AE72" i="1" s="1"/>
  <c r="Z74" i="1"/>
  <c r="AA74" i="1" s="1"/>
  <c r="AE74" i="1" s="1"/>
  <c r="Z83" i="1"/>
  <c r="Z88" i="1" s="1"/>
  <c r="AA88" i="1" s="1"/>
  <c r="AE88" i="1" s="1"/>
  <c r="Z76" i="1"/>
  <c r="AA76" i="1" s="1"/>
  <c r="AE76" i="1" s="1"/>
  <c r="Z75" i="1"/>
  <c r="AA75" i="1" s="1"/>
  <c r="AE75" i="1" s="1"/>
  <c r="Z78" i="1"/>
  <c r="AA78" i="1" s="1"/>
  <c r="AE78" i="1" s="1"/>
  <c r="Z77" i="1"/>
  <c r="AA77" i="1" s="1"/>
  <c r="AE77" i="1" s="1"/>
  <c r="Z82" i="1"/>
  <c r="AA82" i="1" s="1"/>
  <c r="AE82" i="1" s="1"/>
  <c r="Z80" i="1"/>
  <c r="AA80" i="1" s="1"/>
  <c r="AE80" i="1" s="1"/>
  <c r="O323" i="1"/>
  <c r="Y139" i="1"/>
  <c r="Z89" i="1" l="1"/>
  <c r="AA89" i="1" s="1"/>
  <c r="AE89" i="1" s="1"/>
  <c r="Z91" i="1"/>
  <c r="AA91" i="1" s="1"/>
  <c r="AE91" i="1" s="1"/>
  <c r="AA83" i="1"/>
  <c r="AE83" i="1" s="1"/>
  <c r="Z92" i="1"/>
  <c r="Z94" i="1" s="1"/>
  <c r="AA94" i="1" s="1"/>
  <c r="AE94" i="1" s="1"/>
  <c r="Z85" i="1"/>
  <c r="AA85" i="1" s="1"/>
  <c r="AE85" i="1" s="1"/>
  <c r="Z86" i="1"/>
  <c r="AA86" i="1" s="1"/>
  <c r="AE86" i="1" s="1"/>
  <c r="Z90" i="1"/>
  <c r="AA90" i="1" s="1"/>
  <c r="AE90" i="1" s="1"/>
  <c r="Z87" i="1"/>
  <c r="AA87" i="1" s="1"/>
  <c r="AE87" i="1" s="1"/>
  <c r="O325" i="1"/>
  <c r="Y140" i="1"/>
  <c r="Z99" i="1" l="1"/>
  <c r="AA99" i="1" s="1"/>
  <c r="AE99" i="1" s="1"/>
  <c r="Z98" i="1"/>
  <c r="AA98" i="1" s="1"/>
  <c r="AE98" i="1" s="1"/>
  <c r="Z95" i="1"/>
  <c r="AA95" i="1" s="1"/>
  <c r="AE95" i="1" s="1"/>
  <c r="Z100" i="1"/>
  <c r="Z103" i="1" s="1"/>
  <c r="AA103" i="1" s="1"/>
  <c r="AE103" i="1" s="1"/>
  <c r="Z96" i="1"/>
  <c r="AA96" i="1" s="1"/>
  <c r="AE96" i="1" s="1"/>
  <c r="Z97" i="1"/>
  <c r="AA97" i="1" s="1"/>
  <c r="AE97" i="1" s="1"/>
  <c r="AA92" i="1"/>
  <c r="AE92" i="1" s="1"/>
  <c r="O327" i="1"/>
  <c r="Y141" i="1"/>
  <c r="AA100" i="1" l="1"/>
  <c r="AE100" i="1" s="1"/>
  <c r="Z107" i="1"/>
  <c r="AA107" i="1" s="1"/>
  <c r="AE107" i="1" s="1"/>
  <c r="Z108" i="1"/>
  <c r="Z115" i="1" s="1"/>
  <c r="Z106" i="1"/>
  <c r="AA106" i="1" s="1"/>
  <c r="AE106" i="1" s="1"/>
  <c r="Z102" i="1"/>
  <c r="AA102" i="1" s="1"/>
  <c r="AE102" i="1" s="1"/>
  <c r="Z104" i="1"/>
  <c r="AA104" i="1" s="1"/>
  <c r="AE104" i="1" s="1"/>
  <c r="Z105" i="1"/>
  <c r="AA105" i="1" s="1"/>
  <c r="AE105" i="1" s="1"/>
  <c r="O329" i="1"/>
  <c r="Y142" i="1"/>
  <c r="Z113" i="1" l="1"/>
  <c r="AA113" i="1" s="1"/>
  <c r="AE113" i="1" s="1"/>
  <c r="Z114" i="1"/>
  <c r="AA114" i="1" s="1"/>
  <c r="AE114" i="1" s="1"/>
  <c r="Z111" i="1"/>
  <c r="AA111" i="1" s="1"/>
  <c r="AE111" i="1" s="1"/>
  <c r="AA108" i="1"/>
  <c r="AE108" i="1" s="1"/>
  <c r="Z116" i="1"/>
  <c r="Z118" i="1" s="1"/>
  <c r="AA118" i="1" s="1"/>
  <c r="AE118" i="1" s="1"/>
  <c r="Z112" i="1"/>
  <c r="AA112" i="1" s="1"/>
  <c r="AE112" i="1" s="1"/>
  <c r="Z110" i="1"/>
  <c r="AA110" i="1" s="1"/>
  <c r="AE110" i="1" s="1"/>
  <c r="O331" i="1"/>
  <c r="Y143" i="1"/>
  <c r="AA115" i="1"/>
  <c r="Z119" i="1" l="1"/>
  <c r="AA119" i="1" s="1"/>
  <c r="AE119" i="1" s="1"/>
  <c r="AA116" i="1"/>
  <c r="AE116" i="1" s="1"/>
  <c r="Z120" i="1"/>
  <c r="Z124" i="1" s="1"/>
  <c r="AA124" i="1" s="1"/>
  <c r="AE124" i="1" s="1"/>
  <c r="O333" i="1"/>
  <c r="Y144" i="1"/>
  <c r="AE115" i="1"/>
  <c r="Z125" i="1" l="1"/>
  <c r="AA125" i="1" s="1"/>
  <c r="AE125" i="1" s="1"/>
  <c r="Z122" i="1"/>
  <c r="AA122" i="1" s="1"/>
  <c r="AE122" i="1" s="1"/>
  <c r="AA120" i="1"/>
  <c r="AE120" i="1" s="1"/>
  <c r="Z126" i="1"/>
  <c r="Z131" i="1" s="1"/>
  <c r="AA131" i="1" s="1"/>
  <c r="AE131" i="1" s="1"/>
  <c r="Z123" i="1"/>
  <c r="AA123" i="1" s="1"/>
  <c r="AE123" i="1" s="1"/>
  <c r="O335" i="1"/>
  <c r="Y145" i="1"/>
  <c r="Z133" i="1" l="1"/>
  <c r="AA133" i="1" s="1"/>
  <c r="AE133" i="1" s="1"/>
  <c r="AA126" i="1"/>
  <c r="AE126" i="1" s="1"/>
  <c r="Z132" i="1"/>
  <c r="AA132" i="1" s="1"/>
  <c r="AE132" i="1" s="1"/>
  <c r="Z128" i="1"/>
  <c r="AA128" i="1" s="1"/>
  <c r="AE128" i="1" s="1"/>
  <c r="Z129" i="1"/>
  <c r="AA129" i="1" s="1"/>
  <c r="AE129" i="1" s="1"/>
  <c r="Z134" i="1"/>
  <c r="AA134" i="1" s="1"/>
  <c r="AE134" i="1" s="1"/>
  <c r="Z130" i="1"/>
  <c r="AA130" i="1" s="1"/>
  <c r="AE130" i="1" s="1"/>
  <c r="Z135" i="1"/>
  <c r="Z145" i="1" s="1"/>
  <c r="AA145" i="1" s="1"/>
  <c r="AE145" i="1" s="1"/>
  <c r="O337" i="1"/>
  <c r="Y146" i="1"/>
  <c r="Z139" i="1" l="1"/>
  <c r="AA139" i="1" s="1"/>
  <c r="AE139" i="1" s="1"/>
  <c r="Z142" i="1"/>
  <c r="AA142" i="1" s="1"/>
  <c r="AE142" i="1" s="1"/>
  <c r="Z144" i="1"/>
  <c r="AA144" i="1" s="1"/>
  <c r="AE144" i="1" s="1"/>
  <c r="Z138" i="1"/>
  <c r="AA138" i="1" s="1"/>
  <c r="AE138" i="1" s="1"/>
  <c r="AA135" i="1"/>
  <c r="AE135" i="1" s="1"/>
  <c r="Z140" i="1"/>
  <c r="AA140" i="1" s="1"/>
  <c r="AE140" i="1" s="1"/>
  <c r="Z147" i="1"/>
  <c r="Z137" i="1"/>
  <c r="AA137" i="1" s="1"/>
  <c r="AE137" i="1" s="1"/>
  <c r="Z141" i="1"/>
  <c r="AA141" i="1" s="1"/>
  <c r="AE141" i="1" s="1"/>
  <c r="Z148" i="1"/>
  <c r="Z158" i="1" s="1"/>
  <c r="Z143" i="1"/>
  <c r="AA143" i="1" s="1"/>
  <c r="AE143" i="1" s="1"/>
  <c r="Z146" i="1"/>
  <c r="AA146" i="1" s="1"/>
  <c r="AE146" i="1" s="1"/>
  <c r="O339" i="1"/>
  <c r="Y147" i="1"/>
  <c r="Z155" i="1" l="1"/>
  <c r="AA147" i="1"/>
  <c r="AE147" i="1" s="1"/>
  <c r="Z151" i="1"/>
  <c r="Z152" i="1"/>
  <c r="Z156" i="1"/>
  <c r="Z157" i="1"/>
  <c r="Z153" i="1"/>
  <c r="Z150" i="1"/>
  <c r="Z154" i="1"/>
  <c r="Z166" i="1"/>
  <c r="Z165" i="1"/>
  <c r="Z164" i="1"/>
  <c r="Z163" i="1"/>
  <c r="Z162" i="1"/>
  <c r="Z161" i="1"/>
  <c r="Z160" i="1"/>
  <c r="Z169" i="1"/>
  <c r="Z168" i="1"/>
  <c r="Z167" i="1"/>
  <c r="Y148" i="1"/>
  <c r="AA148" i="1" s="1"/>
  <c r="AE148" i="1" s="1"/>
  <c r="O344" i="1"/>
  <c r="O347" i="1"/>
  <c r="O349" i="1" s="1"/>
  <c r="O342" i="1" l="1"/>
  <c r="Y185" i="1"/>
  <c r="Z179" i="1"/>
  <c r="Z181" i="1" s="1"/>
  <c r="Z183" i="1" s="1"/>
  <c r="Z185" i="1" s="1"/>
  <c r="Z187" i="1" s="1"/>
  <c r="Z178" i="1"/>
  <c r="Z177" i="1"/>
  <c r="Z176" i="1"/>
  <c r="Z175" i="1"/>
  <c r="Z174" i="1"/>
  <c r="Z173" i="1"/>
  <c r="Z172" i="1"/>
  <c r="Z171" i="1"/>
  <c r="O351" i="1"/>
  <c r="Y150" i="1"/>
  <c r="AA150" i="1" s="1"/>
  <c r="AE150" i="1" s="1"/>
  <c r="O353" i="1" l="1"/>
  <c r="Y151" i="1"/>
  <c r="AA151" i="1" s="1"/>
  <c r="AE151" i="1" s="1"/>
  <c r="Z189" i="1"/>
  <c r="AA187" i="1"/>
  <c r="AA185" i="1"/>
  <c r="AA189" i="1" l="1"/>
  <c r="Z191" i="1"/>
  <c r="O355" i="1"/>
  <c r="Y152" i="1"/>
  <c r="AA152" i="1" s="1"/>
  <c r="AE152" i="1" s="1"/>
  <c r="O357" i="1" l="1"/>
  <c r="Y153" i="1"/>
  <c r="AA153" i="1" s="1"/>
  <c r="AE153" i="1" s="1"/>
  <c r="Z193" i="1"/>
  <c r="AA191" i="1"/>
  <c r="AA193" i="1" l="1"/>
  <c r="Z195" i="1"/>
  <c r="O359" i="1"/>
  <c r="Y154" i="1"/>
  <c r="AA154" i="1" s="1"/>
  <c r="AE154" i="1" s="1"/>
  <c r="O361" i="1" l="1"/>
  <c r="Y155" i="1"/>
  <c r="AA155" i="1" s="1"/>
  <c r="AE155" i="1" s="1"/>
  <c r="AA195" i="1"/>
  <c r="Z197" i="1"/>
  <c r="Z199" i="1" l="1"/>
  <c r="AA197" i="1"/>
  <c r="O363" i="1"/>
  <c r="Y156" i="1"/>
  <c r="AA156" i="1" s="1"/>
  <c r="AE156" i="1" s="1"/>
  <c r="O365" i="1" l="1"/>
  <c r="Y157" i="1"/>
  <c r="AA157" i="1" s="1"/>
  <c r="AE157" i="1" s="1"/>
  <c r="Z201" i="1"/>
  <c r="AA199" i="1"/>
  <c r="Z203" i="1" l="1"/>
  <c r="AA201" i="1"/>
  <c r="Y158" i="1"/>
  <c r="AA158" i="1" s="1"/>
  <c r="AE158" i="1" s="1"/>
  <c r="O370" i="1"/>
  <c r="O373" i="1"/>
  <c r="O375" i="1" s="1"/>
  <c r="O368" i="1" l="1"/>
  <c r="Y183" i="1"/>
  <c r="AA183" i="1" s="1"/>
  <c r="O377" i="1"/>
  <c r="Y160" i="1"/>
  <c r="AA160" i="1" s="1"/>
  <c r="AE160" i="1" s="1"/>
  <c r="AA203" i="1"/>
  <c r="Z205" i="1"/>
  <c r="O379" i="1" l="1"/>
  <c r="Y161" i="1"/>
  <c r="AA161" i="1" s="1"/>
  <c r="AE161" i="1" s="1"/>
  <c r="AA205" i="1"/>
  <c r="Z207" i="1"/>
  <c r="AA207" i="1" l="1"/>
  <c r="Z209" i="1"/>
  <c r="O381" i="1"/>
  <c r="Y162" i="1"/>
  <c r="AA162" i="1" s="1"/>
  <c r="AE162" i="1" s="1"/>
  <c r="O383" i="1" l="1"/>
  <c r="Y163" i="1"/>
  <c r="AA163" i="1" s="1"/>
  <c r="AE163" i="1" s="1"/>
  <c r="Z211" i="1"/>
  <c r="AA211" i="1" s="1"/>
  <c r="AA209" i="1"/>
  <c r="O385" i="1" l="1"/>
  <c r="Y164" i="1"/>
  <c r="AA164" i="1" s="1"/>
  <c r="AE164" i="1" s="1"/>
  <c r="O387" i="1" l="1"/>
  <c r="Y165" i="1"/>
  <c r="AA165" i="1" s="1"/>
  <c r="AE165" i="1" s="1"/>
  <c r="O389" i="1" l="1"/>
  <c r="Y166" i="1"/>
  <c r="AA166" i="1" s="1"/>
  <c r="AE166" i="1" s="1"/>
  <c r="O391" i="1" l="1"/>
  <c r="Y167" i="1"/>
  <c r="AA167" i="1" s="1"/>
  <c r="AE167" i="1" s="1"/>
  <c r="O393" i="1" l="1"/>
  <c r="Y168" i="1"/>
  <c r="AA168" i="1" s="1"/>
  <c r="AE168" i="1" s="1"/>
  <c r="Y169" i="1" l="1"/>
  <c r="AA169" i="1" s="1"/>
  <c r="AE169" i="1" s="1"/>
  <c r="O401" i="1"/>
  <c r="O403" i="1" s="1"/>
  <c r="O398" i="1"/>
  <c r="O396" i="1" l="1"/>
  <c r="Y181" i="1"/>
  <c r="AA181" i="1" s="1"/>
  <c r="O405" i="1"/>
  <c r="Y171" i="1"/>
  <c r="AA171" i="1" s="1"/>
  <c r="AE171" i="1" s="1"/>
  <c r="O407" i="1" l="1"/>
  <c r="Y172" i="1"/>
  <c r="AA172" i="1" s="1"/>
  <c r="AE172" i="1" s="1"/>
  <c r="O409" i="1" l="1"/>
  <c r="Y173" i="1"/>
  <c r="AA173" i="1" s="1"/>
  <c r="AE173" i="1" s="1"/>
  <c r="O411" i="1" l="1"/>
  <c r="Y174" i="1"/>
  <c r="AA174" i="1" s="1"/>
  <c r="AE174" i="1" s="1"/>
  <c r="O413" i="1" l="1"/>
  <c r="Y175" i="1"/>
  <c r="AA175" i="1" s="1"/>
  <c r="AE175" i="1" s="1"/>
  <c r="O415" i="1" l="1"/>
  <c r="Y176" i="1"/>
  <c r="AA176" i="1" s="1"/>
  <c r="AE176" i="1" s="1"/>
  <c r="O417" i="1" l="1"/>
  <c r="Y177" i="1"/>
  <c r="AA177" i="1" s="1"/>
  <c r="AE177" i="1" s="1"/>
  <c r="O419" i="1" l="1"/>
  <c r="Y178" i="1"/>
  <c r="AA178" i="1" s="1"/>
  <c r="AE178" i="1" s="1"/>
  <c r="O424" i="1" l="1"/>
  <c r="O422" i="1" s="1"/>
  <c r="Y179" i="1"/>
  <c r="AA179" i="1" s="1"/>
  <c r="AE179" i="1" l="1"/>
  <c r="AD22" i="1"/>
  <c r="AD23" i="1" s="1"/>
  <c r="AF39" i="1" l="1"/>
  <c r="AF28" i="1"/>
  <c r="AG28" i="1" s="1"/>
  <c r="AK28" i="1" s="1"/>
  <c r="L5" i="3" s="1"/>
  <c r="AF34" i="1"/>
  <c r="AG34" i="1" s="1"/>
  <c r="AK34" i="1" s="1"/>
  <c r="AF32" i="1"/>
  <c r="AG32" i="1" s="1"/>
  <c r="AK32" i="1" s="1"/>
  <c r="L9" i="3" s="1"/>
  <c r="AF37" i="1"/>
  <c r="AG37" i="1" s="1"/>
  <c r="AK37" i="1" s="1"/>
  <c r="L14" i="3" s="1"/>
  <c r="AF30" i="1"/>
  <c r="AG30" i="1" s="1"/>
  <c r="AK30" i="1" s="1"/>
  <c r="L7" i="3" s="1"/>
  <c r="AF35" i="1"/>
  <c r="AG35" i="1" s="1"/>
  <c r="AK35" i="1" s="1"/>
  <c r="L12" i="3" s="1"/>
  <c r="AF36" i="1"/>
  <c r="AG36" i="1" s="1"/>
  <c r="AK36" i="1" s="1"/>
  <c r="L13" i="3" s="1"/>
  <c r="AF31" i="1"/>
  <c r="AG31" i="1" s="1"/>
  <c r="AK31" i="1" s="1"/>
  <c r="L8" i="3" s="1"/>
  <c r="AF33" i="1"/>
  <c r="AG33" i="1" s="1"/>
  <c r="AK33" i="1" s="1"/>
  <c r="L10" i="3" s="1"/>
  <c r="AF38" i="1"/>
  <c r="AG38" i="1" s="1"/>
  <c r="AK38" i="1" s="1"/>
  <c r="L15" i="3" s="1"/>
  <c r="AF29" i="1"/>
  <c r="AG29" i="1" s="1"/>
  <c r="AK29" i="1" s="1"/>
  <c r="L6" i="3" s="1"/>
  <c r="AF43" i="1"/>
  <c r="AG43" i="1" s="1"/>
  <c r="AK42" i="1" s="1"/>
  <c r="L19" i="3" s="1"/>
  <c r="AF47" i="1"/>
  <c r="AG47" i="1" s="1"/>
  <c r="AK46" i="1" s="1"/>
  <c r="L23" i="3" s="1"/>
  <c r="AF41" i="1"/>
  <c r="AG41" i="1" s="1"/>
  <c r="AK40" i="1" s="1"/>
  <c r="L17" i="3" s="1"/>
  <c r="AF46" i="1"/>
  <c r="AG46" i="1" s="1"/>
  <c r="AK45" i="1" s="1"/>
  <c r="L22" i="3" s="1"/>
  <c r="AF44" i="1"/>
  <c r="AG44" i="1" s="1"/>
  <c r="AK43" i="1" s="1"/>
  <c r="L20" i="3" s="1"/>
  <c r="AF42" i="1"/>
  <c r="AG42" i="1" s="1"/>
  <c r="AK41" i="1" s="1"/>
  <c r="L18" i="3" s="1"/>
  <c r="AF48" i="1"/>
  <c r="AG48" i="1" s="1"/>
  <c r="AK47" i="1" s="1"/>
  <c r="L24" i="3" s="1"/>
  <c r="AF50" i="1"/>
  <c r="AF49" i="1"/>
  <c r="AG49" i="1" s="1"/>
  <c r="AK48" i="1" s="1"/>
  <c r="L25" i="3" s="1"/>
  <c r="AG50" i="1" l="1"/>
  <c r="AK49" i="1" s="1"/>
  <c r="L26" i="3" s="1"/>
  <c r="L11" i="3"/>
  <c r="D39" i="5" s="1"/>
  <c r="D40" i="5" s="1"/>
  <c r="AF53" i="1"/>
  <c r="AG53" i="1" s="1"/>
  <c r="AK51" i="1" s="1"/>
  <c r="L28" i="3" s="1"/>
  <c r="AF58" i="1"/>
  <c r="AG58" i="1" s="1"/>
  <c r="AK56" i="1" s="1"/>
  <c r="L33" i="3" s="1"/>
  <c r="AF54" i="1"/>
  <c r="AG54" i="1" s="1"/>
  <c r="AK52" i="1" s="1"/>
  <c r="L29" i="3" s="1"/>
  <c r="AF56" i="1"/>
  <c r="AG56" i="1" s="1"/>
  <c r="AK54" i="1" s="1"/>
  <c r="L31" i="3" s="1"/>
  <c r="AF57" i="1"/>
  <c r="AG57" i="1" s="1"/>
  <c r="AK55" i="1" s="1"/>
  <c r="L32" i="3" s="1"/>
  <c r="AF61" i="1"/>
  <c r="AF59" i="1"/>
  <c r="AG59" i="1" s="1"/>
  <c r="AK57" i="1" s="1"/>
  <c r="L34" i="3" s="1"/>
  <c r="AF60" i="1"/>
  <c r="AG60" i="1" s="1"/>
  <c r="AK58" i="1" s="1"/>
  <c r="L35" i="3" s="1"/>
  <c r="AF52" i="1"/>
  <c r="AG52" i="1" s="1"/>
  <c r="AK50" i="1" s="1"/>
  <c r="L27" i="3" s="1"/>
  <c r="AF55" i="1"/>
  <c r="AG55" i="1" s="1"/>
  <c r="AK53" i="1" s="1"/>
  <c r="L30" i="3" s="1"/>
  <c r="AF45" i="1"/>
  <c r="AG45" i="1" s="1"/>
  <c r="AK44" i="1" s="1"/>
  <c r="L21" i="3" s="1"/>
  <c r="AG39" i="1"/>
  <c r="AK39" i="1" s="1"/>
  <c r="L16" i="3" s="1"/>
  <c r="AG61" i="1" l="1"/>
  <c r="AK59" i="1" s="1"/>
  <c r="L36" i="3" s="1"/>
  <c r="AF64" i="1"/>
  <c r="AG64" i="1" s="1"/>
  <c r="AK61" i="1" s="1"/>
  <c r="L38" i="3" s="1"/>
  <c r="AF66" i="1"/>
  <c r="AG66" i="1" s="1"/>
  <c r="AK63" i="1" s="1"/>
  <c r="L40" i="3" s="1"/>
  <c r="AF71" i="1"/>
  <c r="AG71" i="1" s="1"/>
  <c r="AK68" i="1" s="1"/>
  <c r="L45" i="3" s="1"/>
  <c r="AF69" i="1"/>
  <c r="AG69" i="1" s="1"/>
  <c r="AK66" i="1" s="1"/>
  <c r="L43" i="3" s="1"/>
  <c r="AF72" i="1"/>
  <c r="AF83" i="1" s="1"/>
  <c r="AF63" i="1"/>
  <c r="AG63" i="1" s="1"/>
  <c r="AK60" i="1" s="1"/>
  <c r="L37" i="3" s="1"/>
  <c r="AF68" i="1"/>
  <c r="AG68" i="1" s="1"/>
  <c r="AK65" i="1" s="1"/>
  <c r="L42" i="3" s="1"/>
  <c r="AF70" i="1"/>
  <c r="AG70" i="1" s="1"/>
  <c r="AK67" i="1" s="1"/>
  <c r="L44" i="3" s="1"/>
  <c r="AF67" i="1"/>
  <c r="AG67" i="1" s="1"/>
  <c r="AK64" i="1" s="1"/>
  <c r="L41" i="3" s="1"/>
  <c r="AF65" i="1"/>
  <c r="AG65" i="1" s="1"/>
  <c r="AK62" i="1" s="1"/>
  <c r="L39" i="3" s="1"/>
  <c r="AF78" i="1"/>
  <c r="AG78" i="1" s="1"/>
  <c r="AK74" i="1" s="1"/>
  <c r="AF80" i="1"/>
  <c r="AG80" i="1" s="1"/>
  <c r="AK76" i="1" s="1"/>
  <c r="L53" i="3" s="1"/>
  <c r="AF76" i="1"/>
  <c r="AG76" i="1" s="1"/>
  <c r="AK72" i="1" s="1"/>
  <c r="L49" i="3" s="1"/>
  <c r="AF79" i="1" l="1"/>
  <c r="AG79" i="1" s="1"/>
  <c r="AK75" i="1" s="1"/>
  <c r="L52" i="3" s="1"/>
  <c r="AF77" i="1"/>
  <c r="AG77" i="1" s="1"/>
  <c r="AK73" i="1" s="1"/>
  <c r="L50" i="3" s="1"/>
  <c r="AF82" i="1"/>
  <c r="AG82" i="1" s="1"/>
  <c r="AK78" i="1" s="1"/>
  <c r="L55" i="3" s="1"/>
  <c r="AG72" i="1"/>
  <c r="AK69" i="1" s="1"/>
  <c r="L46" i="3" s="1"/>
  <c r="AF74" i="1"/>
  <c r="AG74" i="1" s="1"/>
  <c r="AK70" i="1" s="1"/>
  <c r="L47" i="3" s="1"/>
  <c r="AF81" i="1"/>
  <c r="AG81" i="1" s="1"/>
  <c r="AK77" i="1" s="1"/>
  <c r="L54" i="3" s="1"/>
  <c r="AF75" i="1"/>
  <c r="AG75" i="1" s="1"/>
  <c r="AK71" i="1" s="1"/>
  <c r="L48" i="3" s="1"/>
  <c r="L51" i="3"/>
  <c r="D58" i="5" s="1"/>
  <c r="D59" i="5" s="1"/>
  <c r="AG83" i="1"/>
  <c r="AK79" i="1" s="1"/>
  <c r="L56" i="3" s="1"/>
  <c r="AF90" i="1"/>
  <c r="AG90" i="1" s="1"/>
  <c r="AK85" i="1" s="1"/>
  <c r="L62" i="3" s="1"/>
  <c r="AF89" i="1"/>
  <c r="AG89" i="1" s="1"/>
  <c r="AK84" i="1" s="1"/>
  <c r="L61" i="3" s="1"/>
  <c r="AF87" i="1"/>
  <c r="AG87" i="1" s="1"/>
  <c r="AK82" i="1" s="1"/>
  <c r="L59" i="3" s="1"/>
  <c r="AF91" i="1"/>
  <c r="AG91" i="1" s="1"/>
  <c r="AK86" i="1" s="1"/>
  <c r="L63" i="3" s="1"/>
  <c r="AF86" i="1"/>
  <c r="AG86" i="1" s="1"/>
  <c r="AK81" i="1" s="1"/>
  <c r="L58" i="3" s="1"/>
  <c r="AF92" i="1"/>
  <c r="AF85" i="1"/>
  <c r="AG85" i="1" s="1"/>
  <c r="AK80" i="1" s="1"/>
  <c r="L57" i="3" s="1"/>
  <c r="AF88" i="1"/>
  <c r="AG88" i="1" s="1"/>
  <c r="AK83" i="1" s="1"/>
  <c r="L60" i="3" s="1"/>
  <c r="AG92" i="1" l="1"/>
  <c r="AK87" i="1" s="1"/>
  <c r="L64" i="3" s="1"/>
  <c r="AF96" i="1"/>
  <c r="AG96" i="1" s="1"/>
  <c r="AK90" i="1" s="1"/>
  <c r="L67" i="3" s="1"/>
  <c r="AF98" i="1"/>
  <c r="AG98" i="1" s="1"/>
  <c r="AK92" i="1" s="1"/>
  <c r="L69" i="3" s="1"/>
  <c r="AF94" i="1"/>
  <c r="AG94" i="1" s="1"/>
  <c r="AK88" i="1" s="1"/>
  <c r="L65" i="3" s="1"/>
  <c r="AF100" i="1"/>
  <c r="AF95" i="1"/>
  <c r="AG95" i="1" s="1"/>
  <c r="AK89" i="1" s="1"/>
  <c r="L66" i="3" s="1"/>
  <c r="AF99" i="1"/>
  <c r="AG99" i="1" s="1"/>
  <c r="AK93" i="1" s="1"/>
  <c r="L70" i="3" s="1"/>
  <c r="AF97" i="1"/>
  <c r="AG97" i="1" s="1"/>
  <c r="AK91" i="1" s="1"/>
  <c r="L68" i="3" s="1"/>
  <c r="AF108" i="1" l="1"/>
  <c r="AF105" i="1"/>
  <c r="AG105" i="1" s="1"/>
  <c r="AK98" i="1" s="1"/>
  <c r="AF106" i="1"/>
  <c r="AG106" i="1" s="1"/>
  <c r="AK99" i="1" s="1"/>
  <c r="L76" i="3" s="1"/>
  <c r="AG100" i="1"/>
  <c r="AK94" i="1" s="1"/>
  <c r="L71" i="3" s="1"/>
  <c r="AF104" i="1"/>
  <c r="AG104" i="1" s="1"/>
  <c r="AK97" i="1" s="1"/>
  <c r="L74" i="3" s="1"/>
  <c r="AF102" i="1"/>
  <c r="AG102" i="1" s="1"/>
  <c r="AK95" i="1" s="1"/>
  <c r="L72" i="3" s="1"/>
  <c r="AF103" i="1"/>
  <c r="AG103" i="1" s="1"/>
  <c r="AK96" i="1" s="1"/>
  <c r="L73" i="3" s="1"/>
  <c r="AF107" i="1"/>
  <c r="AG107" i="1" s="1"/>
  <c r="AK100" i="1" s="1"/>
  <c r="L77" i="3" s="1"/>
  <c r="L75" i="3" l="1"/>
  <c r="D78" i="5" s="1"/>
  <c r="D79" i="5" s="1"/>
  <c r="AF113" i="1"/>
  <c r="AG113" i="1" s="1"/>
  <c r="AK105" i="1" s="1"/>
  <c r="L82" i="3" s="1"/>
  <c r="AF110" i="1"/>
  <c r="AG110" i="1" s="1"/>
  <c r="AK102" i="1" s="1"/>
  <c r="L79" i="3" s="1"/>
  <c r="AF111" i="1"/>
  <c r="AG111" i="1" s="1"/>
  <c r="AK103" i="1" s="1"/>
  <c r="L80" i="3" s="1"/>
  <c r="AF116" i="1"/>
  <c r="AF115" i="1"/>
  <c r="AF112" i="1"/>
  <c r="AG112" i="1" s="1"/>
  <c r="AK104" i="1" s="1"/>
  <c r="L81" i="3" s="1"/>
  <c r="AG108" i="1"/>
  <c r="AK101" i="1" s="1"/>
  <c r="L78" i="3" s="1"/>
  <c r="AF114" i="1"/>
  <c r="AG114" i="1" s="1"/>
  <c r="AK106" i="1" s="1"/>
  <c r="L83" i="3" s="1"/>
  <c r="AG116" i="1" l="1"/>
  <c r="I6" i="7" s="1"/>
  <c r="O15" i="7" s="1"/>
  <c r="AF119" i="1"/>
  <c r="AF120" i="1"/>
  <c r="AF118" i="1"/>
  <c r="AG118" i="1" s="1"/>
  <c r="AK108" i="1" s="1"/>
  <c r="L85" i="3" s="1"/>
  <c r="AG115" i="1"/>
  <c r="AK107" i="1" s="1"/>
  <c r="AN109" i="1" s="1"/>
  <c r="AG119" i="1"/>
  <c r="AK109" i="1" s="1"/>
  <c r="L86" i="3" s="1"/>
  <c r="O10" i="7" l="1"/>
  <c r="L84" i="3"/>
  <c r="D98" i="5" s="1"/>
  <c r="D99" i="5" s="1"/>
  <c r="AG120" i="1"/>
  <c r="AK110" i="1" s="1"/>
  <c r="AF125" i="1"/>
  <c r="AG125" i="1" s="1"/>
  <c r="AF124" i="1"/>
  <c r="AG124" i="1" s="1"/>
  <c r="AF123" i="1"/>
  <c r="AG123" i="1" s="1"/>
  <c r="AK111" i="1" s="1"/>
  <c r="L88" i="3" s="1"/>
  <c r="AF122" i="1"/>
  <c r="AG122" i="1" s="1"/>
  <c r="AF126" i="1"/>
  <c r="O8" i="7"/>
  <c r="O12" i="7"/>
  <c r="S29" i="7" s="1"/>
  <c r="U29" i="7" s="1"/>
  <c r="S11" i="7"/>
  <c r="O17" i="7"/>
  <c r="L87" i="3" l="1"/>
  <c r="D118" i="5" s="1"/>
  <c r="S12" i="7"/>
  <c r="O19" i="7"/>
  <c r="AG126" i="1"/>
  <c r="AK112" i="1" s="1"/>
  <c r="L89" i="3" s="1"/>
  <c r="AF135" i="1"/>
  <c r="AF129" i="1"/>
  <c r="AG129" i="1" s="1"/>
  <c r="AK114" i="1" s="1"/>
  <c r="AF130" i="1"/>
  <c r="AG130" i="1" s="1"/>
  <c r="AK115" i="1" s="1"/>
  <c r="L92" i="3" s="1"/>
  <c r="AF132" i="1"/>
  <c r="AG132" i="1" s="1"/>
  <c r="AK117" i="1" s="1"/>
  <c r="L94" i="3" s="1"/>
  <c r="AF134" i="1"/>
  <c r="AG134" i="1" s="1"/>
  <c r="AK119" i="1" s="1"/>
  <c r="L96" i="3" s="1"/>
  <c r="AF128" i="1"/>
  <c r="AG128" i="1" s="1"/>
  <c r="AK113" i="1" s="1"/>
  <c r="L90" i="3" s="1"/>
  <c r="AF131" i="1"/>
  <c r="AG131" i="1" s="1"/>
  <c r="AK116" i="1" s="1"/>
  <c r="L93" i="3" s="1"/>
  <c r="AF133" i="1"/>
  <c r="AG133" i="1" s="1"/>
  <c r="AK118" i="1" s="1"/>
  <c r="L95" i="3" s="1"/>
  <c r="L91" i="3" l="1"/>
  <c r="L6" i="7"/>
  <c r="AF137" i="1"/>
  <c r="AG137" i="1" s="1"/>
  <c r="AK121" i="1" s="1"/>
  <c r="L98" i="3" s="1"/>
  <c r="AF138" i="1"/>
  <c r="AG138" i="1" s="1"/>
  <c r="AK122" i="1" s="1"/>
  <c r="L99" i="3" s="1"/>
  <c r="AF140" i="1"/>
  <c r="AG140" i="1" s="1"/>
  <c r="AK124" i="1" s="1"/>
  <c r="L101" i="3" s="1"/>
  <c r="AF146" i="1"/>
  <c r="AG146" i="1" s="1"/>
  <c r="AK130" i="1" s="1"/>
  <c r="L107" i="3" s="1"/>
  <c r="AF139" i="1"/>
  <c r="AG139" i="1" s="1"/>
  <c r="AK123" i="1" s="1"/>
  <c r="L100" i="3" s="1"/>
  <c r="AF144" i="1"/>
  <c r="AG144" i="1" s="1"/>
  <c r="AK128" i="1" s="1"/>
  <c r="L105" i="3" s="1"/>
  <c r="AG135" i="1"/>
  <c r="AK120" i="1" s="1"/>
  <c r="L97" i="3" s="1"/>
  <c r="AF143" i="1"/>
  <c r="AG143" i="1" s="1"/>
  <c r="AK127" i="1" s="1"/>
  <c r="AF142" i="1"/>
  <c r="AG142" i="1" s="1"/>
  <c r="AK126" i="1" s="1"/>
  <c r="AF147" i="1"/>
  <c r="AG147" i="1" s="1"/>
  <c r="AK131" i="1" s="1"/>
  <c r="L108" i="3" s="1"/>
  <c r="AF145" i="1"/>
  <c r="AG145" i="1" s="1"/>
  <c r="AK129" i="1" s="1"/>
  <c r="L106" i="3" s="1"/>
  <c r="AF141" i="1"/>
  <c r="AG141" i="1" s="1"/>
  <c r="AK125" i="1" s="1"/>
  <c r="L102" i="3" s="1"/>
  <c r="AF148" i="1"/>
  <c r="O21" i="7"/>
  <c r="S13" i="7"/>
  <c r="D119" i="5" l="1"/>
  <c r="L104" i="3"/>
  <c r="L103" i="3"/>
  <c r="D138" i="5" s="1"/>
  <c r="D139" i="5" s="1"/>
  <c r="O23" i="7"/>
  <c r="S14" i="7"/>
  <c r="AF155" i="1"/>
  <c r="AG155" i="1" s="1"/>
  <c r="AK138" i="1" s="1"/>
  <c r="L115" i="3" s="1"/>
  <c r="AF152" i="1"/>
  <c r="AG152" i="1" s="1"/>
  <c r="AK135" i="1" s="1"/>
  <c r="L112" i="3" s="1"/>
  <c r="AF157" i="1"/>
  <c r="AG157" i="1" s="1"/>
  <c r="AK140" i="1" s="1"/>
  <c r="L117" i="3" s="1"/>
  <c r="AF153" i="1"/>
  <c r="AG153" i="1" s="1"/>
  <c r="AK136" i="1" s="1"/>
  <c r="L113" i="3" s="1"/>
  <c r="AF158" i="1"/>
  <c r="AF156" i="1"/>
  <c r="AG156" i="1" s="1"/>
  <c r="AK139" i="1" s="1"/>
  <c r="L116" i="3" s="1"/>
  <c r="AF150" i="1"/>
  <c r="AG150" i="1" s="1"/>
  <c r="AK133" i="1" s="1"/>
  <c r="L110" i="3" s="1"/>
  <c r="AG148" i="1"/>
  <c r="AK132" i="1" s="1"/>
  <c r="L109" i="3" s="1"/>
  <c r="AF154" i="1"/>
  <c r="AG154" i="1" s="1"/>
  <c r="AK137" i="1" s="1"/>
  <c r="L114" i="3" s="1"/>
  <c r="AF151" i="1"/>
  <c r="AG151" i="1" s="1"/>
  <c r="AK134" i="1" s="1"/>
  <c r="L111" i="3" s="1"/>
  <c r="AG158" i="1" l="1"/>
  <c r="AK141" i="1" s="1"/>
  <c r="L118" i="3" s="1"/>
  <c r="AF169" i="1"/>
  <c r="AF163" i="1"/>
  <c r="AG163" i="1" s="1"/>
  <c r="AK145" i="1" s="1"/>
  <c r="L122" i="3" s="1"/>
  <c r="AF165" i="1"/>
  <c r="AG165" i="1" s="1"/>
  <c r="AK147" i="1" s="1"/>
  <c r="L124" i="3" s="1"/>
  <c r="AF162" i="1"/>
  <c r="AG162" i="1" s="1"/>
  <c r="AK144" i="1" s="1"/>
  <c r="L121" i="3" s="1"/>
  <c r="AF164" i="1"/>
  <c r="AG164" i="1" s="1"/>
  <c r="AK146" i="1" s="1"/>
  <c r="L123" i="3" s="1"/>
  <c r="AF168" i="1"/>
  <c r="AG168" i="1" s="1"/>
  <c r="AK150" i="1" s="1"/>
  <c r="L127" i="3" s="1"/>
  <c r="AF160" i="1"/>
  <c r="AG160" i="1" s="1"/>
  <c r="AK142" i="1" s="1"/>
  <c r="L119" i="3" s="1"/>
  <c r="AF167" i="1"/>
  <c r="AG167" i="1" s="1"/>
  <c r="AK149" i="1" s="1"/>
  <c r="L126" i="3" s="1"/>
  <c r="AF166" i="1"/>
  <c r="AG166" i="1" s="1"/>
  <c r="AK148" i="1" s="1"/>
  <c r="L125" i="3" s="1"/>
  <c r="AF161" i="1"/>
  <c r="AG161" i="1" s="1"/>
  <c r="AK143" i="1" s="1"/>
  <c r="L120" i="3" s="1"/>
  <c r="S15" i="7"/>
  <c r="O25" i="7"/>
  <c r="AF179" i="1" l="1"/>
  <c r="S16" i="7"/>
  <c r="O27" i="7"/>
  <c r="AF175" i="1"/>
  <c r="AG175" i="1" s="1"/>
  <c r="AK156" i="1" s="1"/>
  <c r="L133" i="3" s="1"/>
  <c r="AG179" i="1"/>
  <c r="AK160" i="1" s="1"/>
  <c r="L137" i="3" s="1"/>
  <c r="AG169" i="1"/>
  <c r="AK151" i="1" s="1"/>
  <c r="AF176" i="1"/>
  <c r="AG176" i="1" s="1"/>
  <c r="AK157" i="1" s="1"/>
  <c r="L134" i="3" s="1"/>
  <c r="AF171" i="1"/>
  <c r="AG171" i="1" s="1"/>
  <c r="AK152" i="1" s="1"/>
  <c r="L129" i="3" s="1"/>
  <c r="AF172" i="1"/>
  <c r="AG172" i="1" s="1"/>
  <c r="AK153" i="1" s="1"/>
  <c r="L130" i="3" s="1"/>
  <c r="AF177" i="1"/>
  <c r="AG177" i="1" s="1"/>
  <c r="AK158" i="1" s="1"/>
  <c r="L135" i="3" s="1"/>
  <c r="AF173" i="1"/>
  <c r="AG173" i="1" s="1"/>
  <c r="AK154" i="1" s="1"/>
  <c r="L131" i="3" s="1"/>
  <c r="AF174" i="1"/>
  <c r="AG174" i="1" s="1"/>
  <c r="AK155" i="1" s="1"/>
  <c r="L132" i="3" s="1"/>
  <c r="AF178" i="1"/>
  <c r="AG178" i="1" s="1"/>
  <c r="AK159" i="1" s="1"/>
  <c r="L136" i="3" l="1"/>
  <c r="AI184" i="1"/>
  <c r="AI186" i="1" s="1"/>
  <c r="L128" i="3"/>
  <c r="S17" i="7"/>
  <c r="O29" i="7"/>
  <c r="D158" i="5" l="1"/>
  <c r="D159" i="5" s="1"/>
  <c r="AI189" i="1"/>
  <c r="AI191" i="1" s="1"/>
  <c r="D179" i="5"/>
  <c r="O31" i="7"/>
  <c r="S18" i="7"/>
  <c r="O33" i="7" l="1"/>
  <c r="S19" i="7"/>
  <c r="O35" i="7" l="1"/>
  <c r="S20" i="7"/>
  <c r="S21" i="7" l="1"/>
  <c r="O37" i="7"/>
  <c r="S22" i="7" s="1"/>
  <c r="R5" i="7" s="1"/>
  <c r="R6" i="7" s="1"/>
  <c r="T17" i="7" l="1"/>
  <c r="U17" i="7" s="1"/>
  <c r="Z17" i="7" s="1"/>
  <c r="T18" i="7"/>
  <c r="U18" i="7" s="1"/>
  <c r="Z18" i="7" s="1"/>
  <c r="L147" i="3" s="1"/>
  <c r="T19" i="7"/>
  <c r="U19" i="7" s="1"/>
  <c r="Z19" i="7" s="1"/>
  <c r="T20" i="7"/>
  <c r="U20" i="7" s="1"/>
  <c r="Z20" i="7" s="1"/>
  <c r="L148" i="3" s="1"/>
  <c r="T21" i="7"/>
  <c r="U21" i="7" s="1"/>
  <c r="Z22" i="7" s="1"/>
  <c r="L149" i="3" s="1"/>
  <c r="D180" i="5" s="1"/>
  <c r="T11" i="7"/>
  <c r="U11" i="7" s="1"/>
  <c r="Z12" i="7" s="1"/>
  <c r="L144" i="3" s="1"/>
  <c r="T13" i="7"/>
  <c r="U13" i="7" s="1"/>
  <c r="Z13" i="7" s="1"/>
  <c r="T15" i="7"/>
  <c r="U15" i="7" s="1"/>
  <c r="Z15" i="7" s="1"/>
  <c r="T22" i="7"/>
  <c r="U22" i="7" s="1"/>
  <c r="Z21" i="7" s="1"/>
  <c r="T12" i="7"/>
  <c r="U12" i="7" s="1"/>
  <c r="T14" i="7"/>
  <c r="U14" i="7" s="1"/>
  <c r="Z14" i="7" s="1"/>
  <c r="L145" i="3" s="1"/>
  <c r="T16" i="7"/>
  <c r="U16" i="7" s="1"/>
  <c r="Z16" i="7" s="1"/>
  <c r="L146" i="3" s="1"/>
  <c r="L139" i="3" l="1"/>
  <c r="L151" i="3"/>
  <c r="L142" i="3"/>
  <c r="L154" i="3"/>
  <c r="L140" i="3"/>
  <c r="L152" i="3"/>
  <c r="L143" i="3"/>
  <c r="L155" i="3"/>
  <c r="L141" i="3"/>
  <c r="L153" i="3"/>
  <c r="Z31" i="7"/>
  <c r="Z11" i="7"/>
  <c r="L150" i="3" l="1"/>
  <c r="L138" i="3"/>
</calcChain>
</file>

<file path=xl/sharedStrings.xml><?xml version="1.0" encoding="utf-8"?>
<sst xmlns="http://schemas.openxmlformats.org/spreadsheetml/2006/main" count="3607" uniqueCount="887">
  <si>
    <t>POINT</t>
  </si>
  <si>
    <t>EAST</t>
  </si>
  <si>
    <t>NORTH</t>
  </si>
  <si>
    <t>HEIGHT</t>
  </si>
  <si>
    <t>Mean East</t>
  </si>
  <si>
    <t>Mean North</t>
  </si>
  <si>
    <t>Mean Height</t>
  </si>
  <si>
    <t>Point</t>
  </si>
  <si>
    <t>East</t>
  </si>
  <si>
    <t>North</t>
  </si>
  <si>
    <t>Height</t>
  </si>
  <si>
    <t>Delta Height</t>
  </si>
  <si>
    <t>Out</t>
  </si>
  <si>
    <t>Return</t>
  </si>
  <si>
    <t>No. of Stations</t>
  </si>
  <si>
    <t>Misclose</t>
  </si>
  <si>
    <t>Misclose/Stup</t>
  </si>
  <si>
    <t>Raw R.L.</t>
  </si>
  <si>
    <t>Corr.</t>
  </si>
  <si>
    <t>Adj. R.L</t>
  </si>
  <si>
    <t>Hz. Distance</t>
  </si>
  <si>
    <t>CLOSE</t>
  </si>
  <si>
    <t>STATION</t>
  </si>
  <si>
    <t>Mark Name</t>
  </si>
  <si>
    <t>Adopted R.L</t>
  </si>
  <si>
    <t>Mark No.</t>
  </si>
  <si>
    <t>Adopted R.L. Start</t>
  </si>
  <si>
    <t>Adopted R.L. End</t>
  </si>
  <si>
    <t>HzDistance</t>
  </si>
  <si>
    <t>R.L.</t>
  </si>
  <si>
    <t>Survey Date:</t>
  </si>
  <si>
    <t>Calcs Date:</t>
  </si>
  <si>
    <t>Epoch:</t>
  </si>
  <si>
    <t>Comment:</t>
  </si>
  <si>
    <t>LW . No.</t>
  </si>
  <si>
    <t>REF. Mark</t>
  </si>
  <si>
    <t>Surveyed By:</t>
  </si>
  <si>
    <t>Full Extent 2D Input</t>
  </si>
  <si>
    <t>PT</t>
  </si>
  <si>
    <t>X</t>
  </si>
  <si>
    <t>Y</t>
  </si>
  <si>
    <t>Z</t>
  </si>
  <si>
    <t>Unique ID</t>
  </si>
  <si>
    <t>UID</t>
  </si>
  <si>
    <t>JOB NAME</t>
  </si>
  <si>
    <t>EPOCH</t>
  </si>
  <si>
    <t>LW NAME</t>
  </si>
  <si>
    <t>LW REFERENCE</t>
  </si>
  <si>
    <t>DATE</t>
  </si>
  <si>
    <t>TYPE</t>
  </si>
  <si>
    <t>MARK ID</t>
  </si>
  <si>
    <t>MARK NUMBER</t>
  </si>
  <si>
    <t>EASTING</t>
  </si>
  <si>
    <t>NORTHING</t>
  </si>
  <si>
    <t>DISTANCE</t>
  </si>
  <si>
    <t>COMMENT</t>
  </si>
  <si>
    <t>GRAPH POINT</t>
  </si>
  <si>
    <t>Survey Extent:</t>
  </si>
  <si>
    <t>Yes</t>
  </si>
  <si>
    <t>3D</t>
  </si>
  <si>
    <t>UPDATE THIS HEIGHT</t>
  </si>
  <si>
    <t>2D Calculations and Reductions for AA9 Menangle Road (Telstra Optic Fibre Line)</t>
  </si>
  <si>
    <t>FOC22</t>
  </si>
  <si>
    <t>Full Extent 2D - Compnet Input</t>
  </si>
  <si>
    <t>MR9001</t>
  </si>
  <si>
    <t>MR9002</t>
  </si>
  <si>
    <t>MR9003</t>
  </si>
  <si>
    <t>MR9004</t>
  </si>
  <si>
    <t>MR9005</t>
  </si>
  <si>
    <t>MR9006</t>
  </si>
  <si>
    <t>MR9007</t>
  </si>
  <si>
    <t>MR9008</t>
  </si>
  <si>
    <t>MR9009</t>
  </si>
  <si>
    <t>MR9010</t>
  </si>
  <si>
    <t>MR9011</t>
  </si>
  <si>
    <t>MR9012</t>
  </si>
  <si>
    <t>MR9013</t>
  </si>
  <si>
    <t>MR9014</t>
  </si>
  <si>
    <t>MR9015</t>
  </si>
  <si>
    <t>MR9016</t>
  </si>
  <si>
    <t>MR9017</t>
  </si>
  <si>
    <t>MR9018</t>
  </si>
  <si>
    <t>MR9019</t>
  </si>
  <si>
    <t>MR9020</t>
  </si>
  <si>
    <t>MR9021</t>
  </si>
  <si>
    <t>MR9022</t>
  </si>
  <si>
    <t>MR9023</t>
  </si>
  <si>
    <t>MR9024</t>
  </si>
  <si>
    <t>MR9025</t>
  </si>
  <si>
    <t>MR9026</t>
  </si>
  <si>
    <t>MR9027</t>
  </si>
  <si>
    <t>MR9028</t>
  </si>
  <si>
    <t>MR9029</t>
  </si>
  <si>
    <t>MR9030</t>
  </si>
  <si>
    <t>MR9031</t>
  </si>
  <si>
    <t>MR9032</t>
  </si>
  <si>
    <t>MR9033</t>
  </si>
  <si>
    <t>MR9034</t>
  </si>
  <si>
    <t>MR9035</t>
  </si>
  <si>
    <t>MR9036</t>
  </si>
  <si>
    <t>MR9037</t>
  </si>
  <si>
    <t>MR9038</t>
  </si>
  <si>
    <t>MR9039</t>
  </si>
  <si>
    <t>MR9040</t>
  </si>
  <si>
    <t>MR9041</t>
  </si>
  <si>
    <t>MR9042</t>
  </si>
  <si>
    <t>MR9043</t>
  </si>
  <si>
    <t>MR9044</t>
  </si>
  <si>
    <t>MR9045</t>
  </si>
  <si>
    <t>MR9046</t>
  </si>
  <si>
    <t>MR9047</t>
  </si>
  <si>
    <t>MR9048</t>
  </si>
  <si>
    <t>MR9049</t>
  </si>
  <si>
    <t>MR9050</t>
  </si>
  <si>
    <t>MR9051</t>
  </si>
  <si>
    <t>MR9052</t>
  </si>
  <si>
    <t>MR9053</t>
  </si>
  <si>
    <t>MR9054</t>
  </si>
  <si>
    <t>MR9055</t>
  </si>
  <si>
    <t>MR9056</t>
  </si>
  <si>
    <t>MR9057</t>
  </si>
  <si>
    <t>MR9058</t>
  </si>
  <si>
    <t>MR9059</t>
  </si>
  <si>
    <t>MR9060</t>
  </si>
  <si>
    <t>MR9061</t>
  </si>
  <si>
    <t>MR9062</t>
  </si>
  <si>
    <t>MR9063</t>
  </si>
  <si>
    <t>MR9064</t>
  </si>
  <si>
    <t>MR9065</t>
  </si>
  <si>
    <t>MR9066</t>
  </si>
  <si>
    <t>MR9067</t>
  </si>
  <si>
    <t>MR9068</t>
  </si>
  <si>
    <t>MR9069</t>
  </si>
  <si>
    <t>MR9070</t>
  </si>
  <si>
    <t>MR9071</t>
  </si>
  <si>
    <t>MR9072</t>
  </si>
  <si>
    <t>MR9073</t>
  </si>
  <si>
    <t>MR9074</t>
  </si>
  <si>
    <t>MR9075</t>
  </si>
  <si>
    <t>MR9076</t>
  </si>
  <si>
    <t>MR9077</t>
  </si>
  <si>
    <t>MR9078</t>
  </si>
  <si>
    <t>MR9079</t>
  </si>
  <si>
    <t>MR9080</t>
  </si>
  <si>
    <t>STN01_MR9001_1</t>
  </si>
  <si>
    <t>STN01_MR9001_2</t>
  </si>
  <si>
    <t>STN01_MR9001_3</t>
  </si>
  <si>
    <t>STN01_MR9001_4</t>
  </si>
  <si>
    <t>STN01_MR9002_1</t>
  </si>
  <si>
    <t>STN01_MR9002_2</t>
  </si>
  <si>
    <t>STN01_MR9003_1</t>
  </si>
  <si>
    <t>STN01_MR9003_2</t>
  </si>
  <si>
    <t>STN01_MR9004_1</t>
  </si>
  <si>
    <t>STN01_MR9004_2</t>
  </si>
  <si>
    <t>STN01_MR9005_1</t>
  </si>
  <si>
    <t>STN01_MR9005_2</t>
  </si>
  <si>
    <t>STN01_MR9006_1</t>
  </si>
  <si>
    <t>STN01_MR9006_2</t>
  </si>
  <si>
    <t>STN01_MR9007_1</t>
  </si>
  <si>
    <t>STN01_MR9007_2</t>
  </si>
  <si>
    <t>STN01_MR9008_1</t>
  </si>
  <si>
    <t>STN01_MR9008_2</t>
  </si>
  <si>
    <t>STN01_MR9009_1</t>
  </si>
  <si>
    <t>STN01_MR9009_2</t>
  </si>
  <si>
    <t>STN01_MR9010_1</t>
  </si>
  <si>
    <t>STN01_MR9010_2</t>
  </si>
  <si>
    <t>STN01_MR9011_1</t>
  </si>
  <si>
    <t>STN01_MR9011_2</t>
  </si>
  <si>
    <t>STN01_MR9012_1</t>
  </si>
  <si>
    <t>STN01_MR9012_2</t>
  </si>
  <si>
    <t>STN01_MR9012_3</t>
  </si>
  <si>
    <t>STN01_MR9012_4</t>
  </si>
  <si>
    <t>STN02_MR9012_1</t>
  </si>
  <si>
    <t>STN02_MR9012_2</t>
  </si>
  <si>
    <t>STN02_MR9012_3</t>
  </si>
  <si>
    <t>STN02_MR9012_4</t>
  </si>
  <si>
    <t>STN02_MR9013_1</t>
  </si>
  <si>
    <t>STN02_MR9013_2</t>
  </si>
  <si>
    <t>STN02_MR9014_1</t>
  </si>
  <si>
    <t>STN02_MR9014_2</t>
  </si>
  <si>
    <t>STN02_MR9015_1</t>
  </si>
  <si>
    <t>STN02_MR9015_2</t>
  </si>
  <si>
    <t>STN02_MR9016_1</t>
  </si>
  <si>
    <t>STN02_MR9016_2</t>
  </si>
  <si>
    <t>STN02_MR9017_1</t>
  </si>
  <si>
    <t>STN02_MR9017_2</t>
  </si>
  <si>
    <t>STN02_MR9018_1</t>
  </si>
  <si>
    <t>STN02_MR9018_2</t>
  </si>
  <si>
    <t>STN02_MR9019_1</t>
  </si>
  <si>
    <t>STN02_MR9019_2</t>
  </si>
  <si>
    <t>STN02_MR9020_1</t>
  </si>
  <si>
    <t>STN02_MR9020_2</t>
  </si>
  <si>
    <t>STN02_MR9021_1</t>
  </si>
  <si>
    <t>STN02_MR9021_2</t>
  </si>
  <si>
    <t>STN02_MR9022_1</t>
  </si>
  <si>
    <t>STN02_MR9022_2</t>
  </si>
  <si>
    <t>STN02_MR9022_3</t>
  </si>
  <si>
    <t>STN02_MR9022_4</t>
  </si>
  <si>
    <t>STN03_MR9022_1</t>
  </si>
  <si>
    <t>STN03_MR9022_2</t>
  </si>
  <si>
    <t>STN03_MR9022_3</t>
  </si>
  <si>
    <t>STN03_MR9022_4</t>
  </si>
  <si>
    <t>STN03_MR9023_1</t>
  </si>
  <si>
    <t>STN03_MR9023_2</t>
  </si>
  <si>
    <t>STN03_MR9024_1</t>
  </si>
  <si>
    <t>STN03_MR9024_2</t>
  </si>
  <si>
    <t>STN03_MR9025_1</t>
  </si>
  <si>
    <t>STN03_MR9025_2</t>
  </si>
  <si>
    <t>STN03_MR9026_1</t>
  </si>
  <si>
    <t>STN03_MR9026_2</t>
  </si>
  <si>
    <t>STN03_MR9027_1</t>
  </si>
  <si>
    <t>STN03_MR9027_2</t>
  </si>
  <si>
    <t>STN03_MR9028_1</t>
  </si>
  <si>
    <t>STN03_MR9028_2</t>
  </si>
  <si>
    <t>STN03_MR9029_1</t>
  </si>
  <si>
    <t>STN03_MR9029_2</t>
  </si>
  <si>
    <t>STN03_MR9030_1</t>
  </si>
  <si>
    <t>STN03_MR9030_2</t>
  </si>
  <si>
    <t>STN03_MR9031_1</t>
  </si>
  <si>
    <t>STN03_MR9031_2</t>
  </si>
  <si>
    <t>STN03_MR9032_1</t>
  </si>
  <si>
    <t>STN03_MR9032_2</t>
  </si>
  <si>
    <t>STN03_MR9032_3</t>
  </si>
  <si>
    <t>STN03_MR9032_4</t>
  </si>
  <si>
    <t>STN04_MR9032_1</t>
  </si>
  <si>
    <t>STN04_MR9032_2</t>
  </si>
  <si>
    <t>STN04_MR9032_3</t>
  </si>
  <si>
    <t>STN04_MR9032_4</t>
  </si>
  <si>
    <t>STN04_MR9033_1</t>
  </si>
  <si>
    <t>STN04_MR9033_2</t>
  </si>
  <si>
    <t>STN04_MR9034_1</t>
  </si>
  <si>
    <t>STN04_MR9034_2</t>
  </si>
  <si>
    <t>STN04_MR9035_1</t>
  </si>
  <si>
    <t>STN04_MR9035_2</t>
  </si>
  <si>
    <t>STN04_MR9036_1</t>
  </si>
  <si>
    <t>STN04_MR9036_2</t>
  </si>
  <si>
    <t>STN04_MR9037_1</t>
  </si>
  <si>
    <t>STN04_MR9037_2</t>
  </si>
  <si>
    <t>STN04_MR9038_1</t>
  </si>
  <si>
    <t>STN04_MR9038_2</t>
  </si>
  <si>
    <t>STN04_MR9039_1</t>
  </si>
  <si>
    <t>STN04_MR9039_2</t>
  </si>
  <si>
    <t>STN04_MR9040_1</t>
  </si>
  <si>
    <t>STN04_MR9040_2</t>
  </si>
  <si>
    <t>STN04_MR9041_1</t>
  </si>
  <si>
    <t>STN04_MR9041_2</t>
  </si>
  <si>
    <t>STN04_MR9042_1</t>
  </si>
  <si>
    <t>STN04_MR9042_2</t>
  </si>
  <si>
    <t>STN04_MR9042_3</t>
  </si>
  <si>
    <t>STN04_MR9042_4</t>
  </si>
  <si>
    <t>STN05_MR9042_1</t>
  </si>
  <si>
    <t>STN05_MR9042_2</t>
  </si>
  <si>
    <t>STN05_MR9042_3</t>
  </si>
  <si>
    <t>STN05_MR9042_4</t>
  </si>
  <si>
    <t>STN05_MR9043_1</t>
  </si>
  <si>
    <t>STN05_MR9043_2</t>
  </si>
  <si>
    <t>STN05_MR9044_1</t>
  </si>
  <si>
    <t>STN05_MR9044_2</t>
  </si>
  <si>
    <t>STN05_MR9045_1</t>
  </si>
  <si>
    <t>STN05_MR9045_2</t>
  </si>
  <si>
    <t>STN05_MR9046_1</t>
  </si>
  <si>
    <t>STN05_MR9046_2</t>
  </si>
  <si>
    <t>STN05_MR9047_1</t>
  </si>
  <si>
    <t>STN05_MR9047_2</t>
  </si>
  <si>
    <t>STN05_MR9048_1</t>
  </si>
  <si>
    <t>STN05_MR9048_2</t>
  </si>
  <si>
    <t>STN05_MR9049_1</t>
  </si>
  <si>
    <t>STN05_MR9049_2</t>
  </si>
  <si>
    <t>STN05_MR9050_1</t>
  </si>
  <si>
    <t>STN05_MR9050_2</t>
  </si>
  <si>
    <t>STN05_MR9051_1</t>
  </si>
  <si>
    <t>STN05_MR9051_2</t>
  </si>
  <si>
    <t>STN05_MR9052_1</t>
  </si>
  <si>
    <t>STN05_MR9052_2</t>
  </si>
  <si>
    <t>STN05_MR9052_3</t>
  </si>
  <si>
    <t>STN05_MR9052_4</t>
  </si>
  <si>
    <t>STN06_MR9052_1</t>
  </si>
  <si>
    <t>STN06_MR9052_2</t>
  </si>
  <si>
    <t>STN06_MR9052_3</t>
  </si>
  <si>
    <t>STN06_MR9052_4</t>
  </si>
  <si>
    <t>STN06_MR9053_1</t>
  </si>
  <si>
    <t>STN06_MR9053_2</t>
  </si>
  <si>
    <t>STN06_MR9054_1</t>
  </si>
  <si>
    <t>STN06_MR9054_2</t>
  </si>
  <si>
    <t>STN06_MR9055_1</t>
  </si>
  <si>
    <t>STN06_MR9055_2</t>
  </si>
  <si>
    <t>STN06_MR9056_1</t>
  </si>
  <si>
    <t>STN06_MR9056_2</t>
  </si>
  <si>
    <t>STN06_MR9057_1</t>
  </si>
  <si>
    <t>STN06_MR9057_2</t>
  </si>
  <si>
    <t>STN06_MR9058_1</t>
  </si>
  <si>
    <t>STN06_MR9058_2</t>
  </si>
  <si>
    <t>STN06_MR9059_1</t>
  </si>
  <si>
    <t>STN06_MR9059_2</t>
  </si>
  <si>
    <t>STN06_MR9060_1</t>
  </si>
  <si>
    <t>STN06_MR9060_2</t>
  </si>
  <si>
    <t>STN07_MR9060_1</t>
  </si>
  <si>
    <t>STN07_MR9060_2</t>
  </si>
  <si>
    <t>STN07_MR9060_3</t>
  </si>
  <si>
    <t>STN07_MR9060_4</t>
  </si>
  <si>
    <t>STN07_MR9061_1</t>
  </si>
  <si>
    <t>STN07_MR9061_2</t>
  </si>
  <si>
    <t>STN07_MR9062_1</t>
  </si>
  <si>
    <t>STN07_MR9062_2</t>
  </si>
  <si>
    <t>STN07_MR9063_1</t>
  </si>
  <si>
    <t>STN07_MR9063_2</t>
  </si>
  <si>
    <t>STN07_MR9064_1</t>
  </si>
  <si>
    <t>STN07_MR9064_2</t>
  </si>
  <si>
    <t>STN07_MR9065_1</t>
  </si>
  <si>
    <t>STN07_MR9065_2</t>
  </si>
  <si>
    <t>STN07_MR9066_1</t>
  </si>
  <si>
    <t>STN07_MR9066_2</t>
  </si>
  <si>
    <t>STN07_MR9067_1</t>
  </si>
  <si>
    <t>STN07_MR9067_2</t>
  </si>
  <si>
    <t>STN07_MR9067_3</t>
  </si>
  <si>
    <t>STN07_MR9067_4</t>
  </si>
  <si>
    <t>STN08_MR9067_1</t>
  </si>
  <si>
    <t>STN08_MR9067_2</t>
  </si>
  <si>
    <t>STN08_MR9067_3</t>
  </si>
  <si>
    <t>STN08_MR9067_4</t>
  </si>
  <si>
    <t>STN08_MR9068_1</t>
  </si>
  <si>
    <t>STN08_MR9068_2</t>
  </si>
  <si>
    <t>STN08_MR9069_1</t>
  </si>
  <si>
    <t>STN08_MR9069_2</t>
  </si>
  <si>
    <t>STN08_MR9070_1</t>
  </si>
  <si>
    <t>STN08_MR9070_2</t>
  </si>
  <si>
    <t>STN08_MR9071_1</t>
  </si>
  <si>
    <t>STN08_MR9071_2</t>
  </si>
  <si>
    <t>STN08_MR9072_1</t>
  </si>
  <si>
    <t>STN08_MR9072_2</t>
  </si>
  <si>
    <t>STN08_MR9073_1</t>
  </si>
  <si>
    <t>STN08_MR9073_2</t>
  </si>
  <si>
    <t>STN08_MR9074_1</t>
  </si>
  <si>
    <t>STN08_MR9074_2</t>
  </si>
  <si>
    <t>STN08_MR9074_3</t>
  </si>
  <si>
    <t>STN08_MR9074_4</t>
  </si>
  <si>
    <t>STN09_MR9074_1</t>
  </si>
  <si>
    <t>STN09_MR9074_2</t>
  </si>
  <si>
    <t>STN09_MR9074_3</t>
  </si>
  <si>
    <t>STN09_MR9074_4</t>
  </si>
  <si>
    <t>STN09_MR9075_1</t>
  </si>
  <si>
    <t>STN09_MR9075_2</t>
  </si>
  <si>
    <t>STN09_MR9076_1</t>
  </si>
  <si>
    <t>STN09_MR9076_2</t>
  </si>
  <si>
    <t>STN09_MR9077_1</t>
  </si>
  <si>
    <t>STN09_MR9077_2</t>
  </si>
  <si>
    <t>STN09_MR9078_1</t>
  </si>
  <si>
    <t>STN09_MR9078_2</t>
  </si>
  <si>
    <t>STN09_MR9079_1</t>
  </si>
  <si>
    <t>STN09_MR9079_2</t>
  </si>
  <si>
    <t>STN09_MR9080_1</t>
  </si>
  <si>
    <t>STN09_MR9080_2</t>
  </si>
  <si>
    <t>AHD</t>
  </si>
  <si>
    <t>FOC22 / MR9013</t>
  </si>
  <si>
    <t>BM Calc (Western End - From FOC22)</t>
  </si>
  <si>
    <t>BM Calc (Eastern End - From MR1 / A9 FF07)</t>
  </si>
  <si>
    <t>Note: Check one way misclose at MR9080 &amp; Compare with A9 FF07 / MR1 GNSS</t>
  </si>
  <si>
    <t>STN06_MR9060_3</t>
  </si>
  <si>
    <t>STN06_MR9060_4</t>
  </si>
  <si>
    <t>Menangle Road Line Calcs btwn Fixed BMs</t>
  </si>
  <si>
    <t>A9MR</t>
  </si>
  <si>
    <t>STN09</t>
  </si>
  <si>
    <t>STN08</t>
  </si>
  <si>
    <t>STN05</t>
  </si>
  <si>
    <t>STN01</t>
  </si>
  <si>
    <t>BM</t>
  </si>
  <si>
    <t>HT</t>
  </si>
  <si>
    <t>Comments</t>
  </si>
  <si>
    <t>Mark_ID</t>
  </si>
  <si>
    <t>Current GNSS Inst Hts</t>
  </si>
  <si>
    <t>Inst_HT</t>
  </si>
  <si>
    <t>Current Local STN Coords from CSV</t>
  </si>
  <si>
    <t>STN</t>
  </si>
  <si>
    <t>GNSS Marks</t>
  </si>
  <si>
    <t>Current GNSS Survey</t>
  </si>
  <si>
    <t>Setup Information</t>
  </si>
  <si>
    <t>Mark</t>
  </si>
  <si>
    <t>GNSS Ht</t>
  </si>
  <si>
    <t>GNSS to TS</t>
  </si>
  <si>
    <t>TS Ht</t>
  </si>
  <si>
    <t>`</t>
  </si>
  <si>
    <t>BM Adoption</t>
  </si>
  <si>
    <t>AHD (one Mena)</t>
  </si>
  <si>
    <t>Height by TS / GNSS (By CP)</t>
  </si>
  <si>
    <t>STN01 (Ground)</t>
  </si>
  <si>
    <t>Inst Height TS</t>
  </si>
  <si>
    <t>STN01 (TS Coll)</t>
  </si>
  <si>
    <t>Average Z</t>
  </si>
  <si>
    <t>∆Ht</t>
  </si>
  <si>
    <t>TOF22</t>
  </si>
  <si>
    <t>TS Ht Connection</t>
  </si>
  <si>
    <t>STN05 (Ground)</t>
  </si>
  <si>
    <t>STN05 (TS Coll)</t>
  </si>
  <si>
    <t>MR9047 Check</t>
  </si>
  <si>
    <t>MR9071 Check</t>
  </si>
  <si>
    <t>STN08 (Ground)</t>
  </si>
  <si>
    <t>STN07 (TS Coll)</t>
  </si>
  <si>
    <t>MR9080 Check</t>
  </si>
  <si>
    <t>STN09 (Ground)</t>
  </si>
  <si>
    <t>STN09 (TS Coll)</t>
  </si>
  <si>
    <t>MR9071 (Ground GNSS)</t>
  </si>
  <si>
    <t>MR9047 (Ground GNSS)</t>
  </si>
  <si>
    <t>MR9007 (Ground GNSS)</t>
  </si>
  <si>
    <t>MR9080 (Ground GNSS)</t>
  </si>
  <si>
    <t>MR9007 (Ground TS / BM)</t>
  </si>
  <si>
    <t>MR9047 (Ground TS / BM)</t>
  </si>
  <si>
    <t>MR9071 (Ground TS / BM)</t>
  </si>
  <si>
    <t>MR9080 (Ground TS / BM)</t>
  </si>
  <si>
    <t>The GNSS being 26mm lower than the ARTC/CR survey is consistent with offset calced for CR Base</t>
  </si>
  <si>
    <t>AHD (MENA)</t>
  </si>
  <si>
    <t>AHD (Rail BM)</t>
  </si>
  <si>
    <t>Notes:</t>
  </si>
  <si>
    <t>Offset was determined during processing of AA9 DP Subs Grid see: GNSS Offset TAB</t>
  </si>
  <si>
    <t>GNSS Offset</t>
  </si>
  <si>
    <t>Area 1</t>
  </si>
  <si>
    <t>ADOPTED CONTROL</t>
  </si>
  <si>
    <t>GNSS ONLY ADJUSTMENT</t>
  </si>
  <si>
    <t>East (m)</t>
  </si>
  <si>
    <t>North (m)</t>
  </si>
  <si>
    <t>AHD 09</t>
  </si>
  <si>
    <t>Notes</t>
  </si>
  <si>
    <t>Source</t>
  </si>
  <si>
    <t>ΔE (mm)</t>
  </si>
  <si>
    <t>ΔN (mm)</t>
  </si>
  <si>
    <t>ΔAHD (mm)</t>
  </si>
  <si>
    <t>ARTCW</t>
  </si>
  <si>
    <t>Ht Only</t>
  </si>
  <si>
    <t>ARTC 2D/3D (73.480km)  26/09/2017</t>
  </si>
  <si>
    <t>ARTC E</t>
  </si>
  <si>
    <t>ARTCE</t>
  </si>
  <si>
    <t>CR001</t>
  </si>
  <si>
    <t>Camden Road 2D/3D (CR01) 03/10/2017</t>
  </si>
  <si>
    <t>The GNSS being 24mm lower than the ARTC/CR survey is consistent with offset calced for CR Base</t>
  </si>
  <si>
    <t>Area 2</t>
  </si>
  <si>
    <t>CR034</t>
  </si>
  <si>
    <t>Camden Road 03/10/2017</t>
  </si>
  <si>
    <t>CR035</t>
  </si>
  <si>
    <t xml:space="preserve">Camden Road 2D/3D - Base Data GPS v TS Heights </t>
  </si>
  <si>
    <t>AHD GPS</t>
  </si>
  <si>
    <t>TS Inst Ht</t>
  </si>
  <si>
    <t>Arb Ht</t>
  </si>
  <si>
    <t>∆H STN01 to CR01</t>
  </si>
  <si>
    <t>AHD BY GPS</t>
  </si>
  <si>
    <t>AHD BY L&amp;S (From ARTC)</t>
  </si>
  <si>
    <t>∆H TS To GPS</t>
  </si>
  <si>
    <t>CR01</t>
  </si>
  <si>
    <t>GPS is below ARTC</t>
  </si>
  <si>
    <t>∆H STN11 to CR71</t>
  </si>
  <si>
    <t>STN11</t>
  </si>
  <si>
    <t>CR71</t>
  </si>
  <si>
    <t>Comparison Btwn GNSS and Ground BMs - AA9 DP Subs Grid</t>
  </si>
  <si>
    <t>Comparison Btwn GNSS and Ground BMs - Camden Road</t>
  </si>
  <si>
    <t>Adopted Offset GNSS from ARTC Ground BMs</t>
  </si>
  <si>
    <t>Source:</t>
  </si>
  <si>
    <t>S:\Cordeaux\Surv_SD\Survey Data\2018\MONITORING\AA9_DP SUBS MONITORING\Base Survey\Control\Base Control V2.xlsx</t>
  </si>
  <si>
    <t>Average Offset:</t>
  </si>
  <si>
    <t>See: S:\Cordeaux\Surv_SD\Survey Data\2019\MONITORING\AA9_DP SUBS MONITORING\AA9 DPSG Control Adoption and Checks.xlsx</t>
  </si>
  <si>
    <r>
      <t xml:space="preserve">The value of </t>
    </r>
    <r>
      <rPr>
        <b/>
        <sz val="10"/>
        <color rgb="FFFF3399"/>
        <rFont val="Arial"/>
        <family val="2"/>
      </rPr>
      <t>-0.040m</t>
    </r>
    <r>
      <rPr>
        <sz val="10"/>
        <rFont val="Arial"/>
        <family val="2"/>
      </rPr>
      <t xml:space="preserve"> was confirmed in the first epoch of the AA9 DP Subs grid</t>
    </r>
  </si>
  <si>
    <t>There is a known offset of 0.037m of the ARTC BM compared to Mena AA9 GNSS</t>
  </si>
  <si>
    <t>→ add 37mm to GNSS heights to bring them onto ARTC BMs</t>
  </si>
  <si>
    <t>Offset GNSS to BM</t>
  </si>
  <si>
    <t>From AA9 FOC22 12/11/2019 - Change Only</t>
  </si>
  <si>
    <t>LW903</t>
  </si>
  <si>
    <t>STN02</t>
  </si>
  <si>
    <t>STN03</t>
  </si>
  <si>
    <t>STN04</t>
  </si>
  <si>
    <t>STN06</t>
  </si>
  <si>
    <t>STN07</t>
  </si>
  <si>
    <t>Current BM's (Manual Input-Not Currently Used)</t>
  </si>
  <si>
    <t>CP82A</t>
  </si>
  <si>
    <t>STN10_MR9081_1</t>
  </si>
  <si>
    <t>MR9081</t>
  </si>
  <si>
    <t>STN10_MR9081_2</t>
  </si>
  <si>
    <t>STN10_MR9082_1</t>
  </si>
  <si>
    <t>MR9082</t>
  </si>
  <si>
    <t>STN10_MR9082_2</t>
  </si>
  <si>
    <t>STN10_MR9083_1</t>
  </si>
  <si>
    <t>MR9083</t>
  </si>
  <si>
    <t>STN10_MR9083_2</t>
  </si>
  <si>
    <t>STN10_MR9083_3</t>
  </si>
  <si>
    <t>STN10_MR9083_4</t>
  </si>
  <si>
    <t>STN11_MR9082_1</t>
  </si>
  <si>
    <t>STN11_MR9082_2</t>
  </si>
  <si>
    <t>STN11_MR9082A_1</t>
  </si>
  <si>
    <t>MR9082A</t>
  </si>
  <si>
    <t>STN11_MR9082A_2</t>
  </si>
  <si>
    <t>STN11_MR9083_1</t>
  </si>
  <si>
    <t>STN11_MR9083_2</t>
  </si>
  <si>
    <t>STN11_MR9083_3</t>
  </si>
  <si>
    <t>STN11_MR9083_4</t>
  </si>
  <si>
    <t>STN11_MR9083A_1</t>
  </si>
  <si>
    <t>MR9083A</t>
  </si>
  <si>
    <t>STN11_MR9083A_2</t>
  </si>
  <si>
    <t>STN11_MR9084_1</t>
  </si>
  <si>
    <t>MR9084</t>
  </si>
  <si>
    <t>STN11_MR9084_2</t>
  </si>
  <si>
    <t>STN11_MR9084A_1</t>
  </si>
  <si>
    <t>MR9084A</t>
  </si>
  <si>
    <t>STN11_MR9084A_2</t>
  </si>
  <si>
    <t>STN11_MR9085_1</t>
  </si>
  <si>
    <t>MR9085</t>
  </si>
  <si>
    <t>STN11_MR9085_2</t>
  </si>
  <si>
    <t>STN11_MR9085_3</t>
  </si>
  <si>
    <t>STN11_MR9085_4</t>
  </si>
  <si>
    <t>STN11_MR9085A_1</t>
  </si>
  <si>
    <t>MR9085A</t>
  </si>
  <si>
    <t>STN11_MR9085A_2</t>
  </si>
  <si>
    <t>STN11_MR9086_1</t>
  </si>
  <si>
    <t>MR9086</t>
  </si>
  <si>
    <t>STN11_MR9086_2</t>
  </si>
  <si>
    <t>STN11_MR9086A_1</t>
  </si>
  <si>
    <t>MR9086A</t>
  </si>
  <si>
    <t>STN11_MR9086A_2</t>
  </si>
  <si>
    <t>STN11_MR9087_1</t>
  </si>
  <si>
    <t>MR9087</t>
  </si>
  <si>
    <t>STN11_MR9087_2</t>
  </si>
  <si>
    <t>STN11_MR9087A_1</t>
  </si>
  <si>
    <t>MR9087A</t>
  </si>
  <si>
    <t>STN11_MR9087A_2</t>
  </si>
  <si>
    <t>STN12</t>
  </si>
  <si>
    <t>STN12_MR9085_1</t>
  </si>
  <si>
    <t>STN12_MR9085_2</t>
  </si>
  <si>
    <t>STN12_MR9085_3</t>
  </si>
  <si>
    <t>STN12_MR9085_4</t>
  </si>
  <si>
    <t>STN12_MR9086_1</t>
  </si>
  <si>
    <t>STN12_MR9086_2</t>
  </si>
  <si>
    <t>STN12_MR9087_1</t>
  </si>
  <si>
    <t>STN12_MR9087_2</t>
  </si>
  <si>
    <t>STN12_MR9088_1</t>
  </si>
  <si>
    <t>MR9088</t>
  </si>
  <si>
    <t>STN12_MR9088_2</t>
  </si>
  <si>
    <t>STN12_MR9089_1</t>
  </si>
  <si>
    <t>MR9089</t>
  </si>
  <si>
    <t>STN12_MR9089_2</t>
  </si>
  <si>
    <t>STN12_MR9090_1</t>
  </si>
  <si>
    <t>MR9090</t>
  </si>
  <si>
    <t>STN12_MR9090_2</t>
  </si>
  <si>
    <t>STN12_MR9091_1</t>
  </si>
  <si>
    <t>MR9091</t>
  </si>
  <si>
    <t>STN12_MR9091_2</t>
  </si>
  <si>
    <t>STN12_MR9092_1</t>
  </si>
  <si>
    <t>MR9092</t>
  </si>
  <si>
    <t>STN12_MR9092_2</t>
  </si>
  <si>
    <t>STN12_MR9093_1</t>
  </si>
  <si>
    <t>MR9093</t>
  </si>
  <si>
    <t>STN12_MR9093_2</t>
  </si>
  <si>
    <t>STN12_MR9093_3</t>
  </si>
  <si>
    <t>STN12_MR9093_4</t>
  </si>
  <si>
    <t>STN13</t>
  </si>
  <si>
    <t>STN13_MR9093_1</t>
  </si>
  <si>
    <t>STN13_MR9093_2</t>
  </si>
  <si>
    <t>STN13_MR9093_3</t>
  </si>
  <si>
    <t>STN13_MR9093_4</t>
  </si>
  <si>
    <t>STN13_MR9094_1</t>
  </si>
  <si>
    <t>MR9094</t>
  </si>
  <si>
    <t>STN13_MR9094_2</t>
  </si>
  <si>
    <t>STN13_MR9095_1</t>
  </si>
  <si>
    <t>MR9095</t>
  </si>
  <si>
    <t>STN13_MR9095_2</t>
  </si>
  <si>
    <t>STN13_MR9096_1</t>
  </si>
  <si>
    <t>MR9096</t>
  </si>
  <si>
    <t>STN13_MR9096_2</t>
  </si>
  <si>
    <t>STN13_MR9097_1</t>
  </si>
  <si>
    <t>MR9097</t>
  </si>
  <si>
    <t>STN13_MR9097_2</t>
  </si>
  <si>
    <t>STN13_MR9098_1</t>
  </si>
  <si>
    <t>MR9098</t>
  </si>
  <si>
    <t>STN13_MR9098_2</t>
  </si>
  <si>
    <t>STN13_MR9099_1</t>
  </si>
  <si>
    <t>MR9099</t>
  </si>
  <si>
    <t>STN13_MR9099_2</t>
  </si>
  <si>
    <t>STN13_MR9100_1</t>
  </si>
  <si>
    <t>MR9100</t>
  </si>
  <si>
    <t>STN13_MR9100_2</t>
  </si>
  <si>
    <t>STN13_MR9101_1</t>
  </si>
  <si>
    <t>MR9101</t>
  </si>
  <si>
    <t>STN13_MR9101_2</t>
  </si>
  <si>
    <t>STN13_MR9102_1</t>
  </si>
  <si>
    <t>MR9102</t>
  </si>
  <si>
    <t>STN13_MR9102_2</t>
  </si>
  <si>
    <t>STN13_MR9103_1</t>
  </si>
  <si>
    <t>MR9103</t>
  </si>
  <si>
    <t>STN13_MR9103_2</t>
  </si>
  <si>
    <t>STN13_MR9104_1</t>
  </si>
  <si>
    <t>MR9104</t>
  </si>
  <si>
    <t>STN13_MR9104_2</t>
  </si>
  <si>
    <t>STN13_MR9105_1</t>
  </si>
  <si>
    <t>MR9105</t>
  </si>
  <si>
    <t>STN13_MR9105_2</t>
  </si>
  <si>
    <t>STN13_MR9105_3</t>
  </si>
  <si>
    <t>STN13_MR9105_4</t>
  </si>
  <si>
    <t>STN15</t>
  </si>
  <si>
    <t>STN15_MR9105_1</t>
  </si>
  <si>
    <t>STN15_MR9105_2</t>
  </si>
  <si>
    <t>STN15_MR9105_3</t>
  </si>
  <si>
    <t>STN15_MR9105_4</t>
  </si>
  <si>
    <t>STN15_MR9106_1</t>
  </si>
  <si>
    <t>MR9106</t>
  </si>
  <si>
    <t>STN15_MR9106_2</t>
  </si>
  <si>
    <t>STN15_MR9107_1</t>
  </si>
  <si>
    <t>MR9107</t>
  </si>
  <si>
    <t>STN15_MR9107_2</t>
  </si>
  <si>
    <t>STN15_MR9108_1</t>
  </si>
  <si>
    <t>MR9108</t>
  </si>
  <si>
    <t>STN15_MR9108_2</t>
  </si>
  <si>
    <t>STN15_MR9109_1</t>
  </si>
  <si>
    <t>MR9109</t>
  </si>
  <si>
    <t>STN15_MR9109_2</t>
  </si>
  <si>
    <t>STN15_MR9110_1</t>
  </si>
  <si>
    <t>MR9110</t>
  </si>
  <si>
    <t>STN15_MR9110_2</t>
  </si>
  <si>
    <t>STN15_MR9111_1</t>
  </si>
  <si>
    <t>MR9111</t>
  </si>
  <si>
    <t>STN15_MR9111_2</t>
  </si>
  <si>
    <t>STN15_MR9112_1</t>
  </si>
  <si>
    <t>MR9112</t>
  </si>
  <si>
    <t>STN15_MR9112_2</t>
  </si>
  <si>
    <t>STN15_MR9113_1</t>
  </si>
  <si>
    <t>MR9113</t>
  </si>
  <si>
    <t>STN15_MR9113_2</t>
  </si>
  <si>
    <t>STN15_MR9114_1</t>
  </si>
  <si>
    <t>MR9114</t>
  </si>
  <si>
    <t>STN15_MR9114_2</t>
  </si>
  <si>
    <t>STN15_MR9114_3</t>
  </si>
  <si>
    <t>STN15_MR9114_4</t>
  </si>
  <si>
    <t>STN16</t>
  </si>
  <si>
    <t>STN16_MR9114_1</t>
  </si>
  <si>
    <t>STN16_MR9114_2</t>
  </si>
  <si>
    <t>STN16_MR9114_3</t>
  </si>
  <si>
    <t>STN16_MR9114_4</t>
  </si>
  <si>
    <t>STN16_MR9115_1</t>
  </si>
  <si>
    <t>MR9115</t>
  </si>
  <si>
    <t>STN16_MR9115_2</t>
  </si>
  <si>
    <t>STN16_MR9116_1</t>
  </si>
  <si>
    <t>MR9116</t>
  </si>
  <si>
    <t>STN16_MR9116_2</t>
  </si>
  <si>
    <t>STN16_MR9117_1</t>
  </si>
  <si>
    <t>MR9117</t>
  </si>
  <si>
    <t>STN16_MR9117_2</t>
  </si>
  <si>
    <t>STN16_MR9118_1</t>
  </si>
  <si>
    <t>MR9118</t>
  </si>
  <si>
    <t>STN16_MR9118_2</t>
  </si>
  <si>
    <t>STN16_MR9119_1</t>
  </si>
  <si>
    <t>MR9119</t>
  </si>
  <si>
    <t>STN16_MR9119_2</t>
  </si>
  <si>
    <t>STN16_MR9120_1</t>
  </si>
  <si>
    <t>MR9120</t>
  </si>
  <si>
    <t>STN16_MR9120_2</t>
  </si>
  <si>
    <t>STN16_MR9121_1</t>
  </si>
  <si>
    <t>MR9121</t>
  </si>
  <si>
    <t>STN16_MR9121_2</t>
  </si>
  <si>
    <t>STN16_MR9122_1</t>
  </si>
  <si>
    <t>MR9122</t>
  </si>
  <si>
    <t>STN16_MR9122_2</t>
  </si>
  <si>
    <t>STN16_MR9123_1</t>
  </si>
  <si>
    <t>MR9123</t>
  </si>
  <si>
    <t>STN16_MR9123_2</t>
  </si>
  <si>
    <t>STN16_MR9124_1</t>
  </si>
  <si>
    <t>MR9124</t>
  </si>
  <si>
    <t>STN16_MR9124_2</t>
  </si>
  <si>
    <t>STN16_MR9124_3</t>
  </si>
  <si>
    <t>STN16_MR9124_4</t>
  </si>
  <si>
    <t>STN18</t>
  </si>
  <si>
    <t>STN18_MR9124_1</t>
  </si>
  <si>
    <t>STN18_MR9124_2</t>
  </si>
  <si>
    <t>STN18_MR9124_3</t>
  </si>
  <si>
    <t>STN18_MR9124_4</t>
  </si>
  <si>
    <t>STN18_MR9125_1</t>
  </si>
  <si>
    <t>MR9125</t>
  </si>
  <si>
    <t>STN18_MR9125_2</t>
  </si>
  <si>
    <t>STN18_MR9126_1</t>
  </si>
  <si>
    <t>MR9126</t>
  </si>
  <si>
    <t>STN18_MR9126_2</t>
  </si>
  <si>
    <t>STN18_MR9127_1</t>
  </si>
  <si>
    <t>MR9127</t>
  </si>
  <si>
    <t>STN18_MR9127_2</t>
  </si>
  <si>
    <t>STN18_MR9128_1</t>
  </si>
  <si>
    <t>MR9128</t>
  </si>
  <si>
    <t>STN18_MR9128_2</t>
  </si>
  <si>
    <t>STN18_MR9129_1</t>
  </si>
  <si>
    <t>MR9129</t>
  </si>
  <si>
    <t>STN18_MR9129_2</t>
  </si>
  <si>
    <t>STN18_MR9130_1</t>
  </si>
  <si>
    <t>MR9130</t>
  </si>
  <si>
    <t>STN18_MR9130_2</t>
  </si>
  <si>
    <t>STN18_MR9131_1</t>
  </si>
  <si>
    <t>MR9131</t>
  </si>
  <si>
    <t>STN18_MR9131_2</t>
  </si>
  <si>
    <t>STN18_MR9132_1</t>
  </si>
  <si>
    <t>MR9132</t>
  </si>
  <si>
    <t>STN18_MR9132_2</t>
  </si>
  <si>
    <t>STN18_MR9133_1</t>
  </si>
  <si>
    <t>MR9133</t>
  </si>
  <si>
    <t>STN18_MR9133_2</t>
  </si>
  <si>
    <t>STN18_MR9133_3</t>
  </si>
  <si>
    <t>STN18_MR9133_4</t>
  </si>
  <si>
    <t>STN10</t>
  </si>
  <si>
    <t>MR7001</t>
  </si>
  <si>
    <t>MR9082-2nd</t>
  </si>
  <si>
    <t>2D Survey Line</t>
  </si>
  <si>
    <t>Strain Hz Dist.</t>
  </si>
  <si>
    <t>Closure Hz Dist.</t>
  </si>
  <si>
    <t>Strain HzDist</t>
  </si>
  <si>
    <t>Strain Hz Dist</t>
  </si>
  <si>
    <t>Closure Hz Dist</t>
  </si>
  <si>
    <t xml:space="preserve">Cutting STN11 </t>
  </si>
  <si>
    <t>Cutting STN10</t>
  </si>
  <si>
    <t>NA</t>
  </si>
  <si>
    <t xml:space="preserve">From MR 09/01/2020 </t>
  </si>
  <si>
    <t>STN11 (Ground)</t>
  </si>
  <si>
    <t>A7STN01</t>
  </si>
  <si>
    <t>STN17</t>
  </si>
  <si>
    <t>Current GNSS Ground Heights</t>
  </si>
  <si>
    <t>STN09_STN10_1</t>
  </si>
  <si>
    <t>STN09_STN10_2</t>
  </si>
  <si>
    <t>STN11 (TS Coll)</t>
  </si>
  <si>
    <t>MR9083 (Ground GNSS)</t>
  </si>
  <si>
    <t>MR9083 (Ground TS / BM)</t>
  </si>
  <si>
    <t>MR9083 Check</t>
  </si>
  <si>
    <t>MR9099 Check</t>
  </si>
  <si>
    <t>STN13 (Ground)</t>
  </si>
  <si>
    <t>STN13 (TS Coll)</t>
  </si>
  <si>
    <t>MR9099 (Ground GNSS)</t>
  </si>
  <si>
    <t>MR9099 (Ground TS / BM)</t>
  </si>
  <si>
    <t>MR9124 / BMS Check</t>
  </si>
  <si>
    <t>STN17 (Ground)</t>
  </si>
  <si>
    <t>STN17 (TS Coll)</t>
  </si>
  <si>
    <t>STN17_MR9124_1</t>
  </si>
  <si>
    <t>STN17_MR9124_2</t>
  </si>
  <si>
    <t>MR9124 (Ground GNSS)</t>
  </si>
  <si>
    <t>MR9124 (Ground TS / BM)</t>
  </si>
  <si>
    <t>A9MR_CUT</t>
  </si>
  <si>
    <t>CLOSURE</t>
  </si>
  <si>
    <t>MR9086_1st</t>
  </si>
  <si>
    <t>MR9087_1st</t>
  </si>
  <si>
    <t>AA7 / AA9 Menangle Connection Check</t>
  </si>
  <si>
    <t>A7STN01 (Ground)</t>
  </si>
  <si>
    <t>A7STN01 (TS Coll)</t>
  </si>
  <si>
    <t>A7STN01_MR7001_1</t>
  </si>
  <si>
    <t>A7STN01_MR7001_2</t>
  </si>
  <si>
    <t>A7STN01_MR7001_3</t>
  </si>
  <si>
    <t>A7STN01_MR7001_4</t>
  </si>
  <si>
    <t>A7STN01_MR9132_1</t>
  </si>
  <si>
    <t>A7STN01_MR9132_2</t>
  </si>
  <si>
    <t>A7STN01_MR9132_3</t>
  </si>
  <si>
    <t>A7STN01_MR9132_4</t>
  </si>
  <si>
    <t>MR7001 (Ground GNSS)</t>
  </si>
  <si>
    <t>MR9132_1</t>
  </si>
  <si>
    <t>MR9132_2</t>
  </si>
  <si>
    <t>MR7001_1</t>
  </si>
  <si>
    <t>MR7001_2</t>
  </si>
  <si>
    <t>MR7001_3</t>
  </si>
  <si>
    <t>MR7001_4</t>
  </si>
  <si>
    <t>MR9132_3</t>
  </si>
  <si>
    <t>MR9132_4</t>
  </si>
  <si>
    <t>Connection To Area 7 Menangle Road</t>
  </si>
  <si>
    <t>Delta Ht</t>
  </si>
  <si>
    <t>Adjusted Ht</t>
  </si>
  <si>
    <t>Close</t>
  </si>
  <si>
    <t>MR7001 (Ground TS / BM) this survey</t>
  </si>
  <si>
    <t>MR7001 From Area 7 - 20/11/2019</t>
  </si>
  <si>
    <t>this Rail BM height is a known +37mm higher than raw "GNSS" heights</t>
  </si>
  <si>
    <t>zero misclose</t>
  </si>
  <si>
    <t>10mm misclose</t>
  </si>
  <si>
    <t>last reported</t>
  </si>
  <si>
    <t>STN15_15_1</t>
  </si>
  <si>
    <t>STN16_16_1</t>
  </si>
  <si>
    <t>STN18_18_1</t>
  </si>
  <si>
    <t>A7STN01_1_1</t>
  </si>
  <si>
    <t>HO</t>
  </si>
  <si>
    <t>FOCSTN03</t>
  </si>
  <si>
    <t>STN11A</t>
  </si>
  <si>
    <t>From AA9 FOC22 10/03/2020</t>
  </si>
  <si>
    <t>FOCSTN01</t>
  </si>
  <si>
    <t>FOCSTN01_FOC01_1</t>
  </si>
  <si>
    <t>FOC01</t>
  </si>
  <si>
    <t>FOCSTN01_FOC01_2</t>
  </si>
  <si>
    <t>FOCSTN01_FOC01_3</t>
  </si>
  <si>
    <t>FOCSTN01_FOC01_4</t>
  </si>
  <si>
    <t>FOCSTN01_FOC09_1</t>
  </si>
  <si>
    <t>FOC09</t>
  </si>
  <si>
    <t>FOCSTN01_FOC09_2</t>
  </si>
  <si>
    <t>FOCSTN01_FOC09_3</t>
  </si>
  <si>
    <t>FOCSTN01_FOC09_4</t>
  </si>
  <si>
    <t>FOCSTN01_UT75600_1</t>
  </si>
  <si>
    <t>UT75600</t>
  </si>
  <si>
    <t>FOCSTN01_UT75600_2</t>
  </si>
  <si>
    <t>FOCSTN01_UT75600_3</t>
  </si>
  <si>
    <t>FOCSTN01_UT75600_4</t>
  </si>
  <si>
    <t>FOCSTN02</t>
  </si>
  <si>
    <t>FOCSTN02_FOC09_1</t>
  </si>
  <si>
    <t>FOCSTN02_FOC09_2</t>
  </si>
  <si>
    <t>FOCSTN02_FOC09_3</t>
  </si>
  <si>
    <t>FOCSTN02_FOC09_4</t>
  </si>
  <si>
    <t>FOCSTN02_FOC16_1</t>
  </si>
  <si>
    <t>FOC16</t>
  </si>
  <si>
    <t>FOCSTN02_FOC16_2</t>
  </si>
  <si>
    <t>FOCSTN02_FOC16_3</t>
  </si>
  <si>
    <t>FOCSTN02_FOC16_4</t>
  </si>
  <si>
    <t>FOCSTN03A</t>
  </si>
  <si>
    <t>FOCSTN03A_FOC16_1</t>
  </si>
  <si>
    <t>FOCSTN03A_FOC16_2</t>
  </si>
  <si>
    <t>FOCSTN03A_FOC16_3</t>
  </si>
  <si>
    <t>FOCSTN03A_FOC16_4</t>
  </si>
  <si>
    <t>FOCSTN03A_FOC22_1</t>
  </si>
  <si>
    <t>FOCSTN03A_FOC22_2</t>
  </si>
  <si>
    <t>FOCSTN03A_FOC22_3</t>
  </si>
  <si>
    <t>FOCSTN03A_FOC22_4</t>
  </si>
  <si>
    <t>FOCSTN03A_FOCSTN03_1</t>
  </si>
  <si>
    <t>FOCSTN03A_FOCSTN03_2</t>
  </si>
  <si>
    <t>FOCSTN03A_FOCSTN03_3</t>
  </si>
  <si>
    <t>FOCSTN03A_FOCSTN03_4</t>
  </si>
  <si>
    <t>FOCSTN03A_STN01_1</t>
  </si>
  <si>
    <t>FOCSTN03A_STN01_2</t>
  </si>
  <si>
    <t>FOCSTN03A_STN01_3</t>
  </si>
  <si>
    <t>FOCSTN03A_STN01_4</t>
  </si>
  <si>
    <t>STN01_FOCSTN03_1</t>
  </si>
  <si>
    <t>STN01_FOCSTN03_2</t>
  </si>
  <si>
    <t>FOCSTN03_STN01_1</t>
  </si>
  <si>
    <t>FOCSTN03_STN01_2</t>
  </si>
  <si>
    <t>FOCSTN03_STN02_1</t>
  </si>
  <si>
    <t>FOCSTN03_STN02_2</t>
  </si>
  <si>
    <t>STN02_FOCSTN03_1</t>
  </si>
  <si>
    <t>STN02_FOCSTN03_2</t>
  </si>
  <si>
    <t>STN02_STN03_1</t>
  </si>
  <si>
    <t>STN02_STN03_2</t>
  </si>
  <si>
    <t>STN03_STN02_1</t>
  </si>
  <si>
    <t>STN03_STN02_2</t>
  </si>
  <si>
    <t>STN03_STN04_1</t>
  </si>
  <si>
    <t>STN03_STN04_2</t>
  </si>
  <si>
    <t>STN04_STN03_1</t>
  </si>
  <si>
    <t>STN04_STN03_2</t>
  </si>
  <si>
    <t>STN04_STN05_1</t>
  </si>
  <si>
    <t>STN04_STN05_2</t>
  </si>
  <si>
    <t>STN05_STN04_1</t>
  </si>
  <si>
    <t>STN05_STN04_2</t>
  </si>
  <si>
    <t>STN05_STN06_1</t>
  </si>
  <si>
    <t>STN05_STN06_2</t>
  </si>
  <si>
    <t>STN06_STN05_1</t>
  </si>
  <si>
    <t>STN06_STN05_2</t>
  </si>
  <si>
    <t>STN06_STN07_1</t>
  </si>
  <si>
    <t>STN06_STN07_2</t>
  </si>
  <si>
    <t>STN07_STN06_1</t>
  </si>
  <si>
    <t>STN07_STN06_2</t>
  </si>
  <si>
    <t>STN07_STN08_1</t>
  </si>
  <si>
    <t>STN07_STN08_2</t>
  </si>
  <si>
    <t>STN08_STN07_1</t>
  </si>
  <si>
    <t>STN08_STN07_2</t>
  </si>
  <si>
    <t>STN08_STN09_1</t>
  </si>
  <si>
    <t>STN08_STN09_2</t>
  </si>
  <si>
    <t>STN09_MR9082A_1</t>
  </si>
  <si>
    <t>STN09_MR9082A_2</t>
  </si>
  <si>
    <t>STN09_MR9082A_3</t>
  </si>
  <si>
    <t>STN09_MR9082A_4</t>
  </si>
  <si>
    <t>STN09_STN08_1</t>
  </si>
  <si>
    <t>STN09_STN08_2</t>
  </si>
  <si>
    <t>STN10_MR9082A_1</t>
  </si>
  <si>
    <t>STN10_MR9082A_2</t>
  </si>
  <si>
    <t>STN10_MR9082A_3</t>
  </si>
  <si>
    <t>STN10_MR9082A_4</t>
  </si>
  <si>
    <t>STN10_STN09_1</t>
  </si>
  <si>
    <t>STN10_STN09_2</t>
  </si>
  <si>
    <t>STN10_STN11_1</t>
  </si>
  <si>
    <t>STN10_STN11_2</t>
  </si>
  <si>
    <t>STN11_STN10_1</t>
  </si>
  <si>
    <t>STN11_STN10_2</t>
  </si>
  <si>
    <t>STN11_STN11A_1</t>
  </si>
  <si>
    <t>STN11_STN11A_2</t>
  </si>
  <si>
    <t>STN11_STN12_1</t>
  </si>
  <si>
    <t>STN11_STN12_2</t>
  </si>
  <si>
    <t>STN11A_MR9084A_1</t>
  </si>
  <si>
    <t>STN11A_MR9084A_2</t>
  </si>
  <si>
    <t>STN11A_MR9085_1</t>
  </si>
  <si>
    <t>STN11A_MR9085_2</t>
  </si>
  <si>
    <t>STN11A_MR9085A_1</t>
  </si>
  <si>
    <t>STN11A_MR9085A_2</t>
  </si>
  <si>
    <t>STN11A_MR9086A_1</t>
  </si>
  <si>
    <t>STN11A_MR9086A_2</t>
  </si>
  <si>
    <t>STN11A_STN11_1</t>
  </si>
  <si>
    <t>STN11A_STN11_2</t>
  </si>
  <si>
    <t>STN12_STN11_1</t>
  </si>
  <si>
    <t>STN12_STN11_2</t>
  </si>
  <si>
    <t>STN12_STN13_1</t>
  </si>
  <si>
    <t>STN12_STN13_2</t>
  </si>
  <si>
    <t>STN13_STN12_1</t>
  </si>
  <si>
    <t>STN13_STN12_2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</si>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</sst>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0"/>
    <numFmt numFmtId="167" formatCode="0.0000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Calibri"/>
      <family val="2"/>
      <scheme val="minor"/>
    </font>
    <font>
      <sz val="18"/>
      <color indexed="23"/>
      <name val="Calibri"/>
      <family val="2"/>
      <scheme val="minor"/>
    </font>
    <font>
      <b/>
      <sz val="10"/>
      <name val="Calibri"/>
      <family val="2"/>
      <scheme val="minor"/>
    </font>
    <font>
      <sz val="14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u/>
      <sz val="1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indexed="2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FF"/>
      <name val="Calibri"/>
      <family val="2"/>
      <scheme val="minor"/>
    </font>
    <font>
      <b/>
      <sz val="10"/>
      <color rgb="FF808080"/>
      <name val="Calibri"/>
      <family val="2"/>
      <scheme val="minor"/>
    </font>
    <font>
      <b/>
      <sz val="10"/>
      <color theme="0"/>
      <name val="Arial"/>
      <family val="2"/>
    </font>
    <font>
      <b/>
      <sz val="11"/>
      <name val="Calibri"/>
      <family val="2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u/>
      <sz val="16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name val="Calibri"/>
      <family val="2"/>
    </font>
    <font>
      <sz val="10"/>
      <color rgb="FFFF00FF"/>
      <name val="Arial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0"/>
      <name val="Arial"/>
      <family val="2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b/>
      <sz val="11"/>
      <color rgb="FFFF00FF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20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sz val="12"/>
      <color rgb="FF00B050"/>
      <name val="Arial"/>
      <family val="2"/>
    </font>
    <font>
      <b/>
      <sz val="12"/>
      <color rgb="FFFF3399"/>
      <name val="Arial"/>
      <family val="2"/>
    </font>
    <font>
      <b/>
      <sz val="10"/>
      <color rgb="FFFF3399"/>
      <name val="Arial"/>
      <family val="2"/>
    </font>
    <font>
      <sz val="10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20"/>
      <color theme="3" tint="0.3999755851924192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3" tint="0.39997558519241921"/>
      <name val="Arial"/>
      <family val="2"/>
    </font>
    <font>
      <sz val="10"/>
      <color theme="3" tint="0.39997558519241921"/>
      <name val="Calibri"/>
      <family val="2"/>
      <scheme val="minor"/>
    </font>
    <font>
      <i/>
      <sz val="11"/>
      <color theme="3" tint="0.39997558519241921"/>
      <name val="Calibri"/>
      <family val="2"/>
      <scheme val="minor"/>
    </font>
    <font>
      <sz val="10"/>
      <color rgb="FFFF0000"/>
      <name val="Calibri"/>
      <scheme val="minor"/>
    </font>
    <font>
      <b/>
      <sz val="10"/>
      <color theme="3" tint="0.39997558519241921"/>
      <name val="Calibri"/>
      <family val="2"/>
      <scheme val="minor"/>
    </font>
    <font>
      <sz val="10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rgb="FFCCFF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C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8" fillId="5" borderId="4" applyNumberFormat="0" applyAlignment="0" applyProtection="0"/>
    <xf numFmtId="0" fontId="3" fillId="0" borderId="0"/>
  </cellStyleXfs>
  <cellXfs count="225">
    <xf numFmtId="0" fontId="0" fillId="0" borderId="0" xfId="0"/>
    <xf numFmtId="0" fontId="6" fillId="3" borderId="0" xfId="0" applyFont="1" applyFill="1"/>
    <xf numFmtId="0" fontId="9" fillId="0" borderId="0" xfId="0" applyFont="1"/>
    <xf numFmtId="0" fontId="11" fillId="3" borderId="0" xfId="0" applyFont="1" applyFill="1"/>
    <xf numFmtId="0" fontId="9" fillId="0" borderId="0" xfId="0" applyFont="1" applyFill="1"/>
    <xf numFmtId="0" fontId="13" fillId="0" borderId="0" xfId="0" applyFont="1" applyAlignment="1">
      <alignment horizontal="center"/>
    </xf>
    <xf numFmtId="49" fontId="9" fillId="0" borderId="0" xfId="0" applyNumberFormat="1" applyFont="1"/>
    <xf numFmtId="20" fontId="0" fillId="0" borderId="0" xfId="0" applyNumberFormat="1"/>
    <xf numFmtId="0" fontId="13" fillId="0" borderId="0" xfId="0" applyFont="1" applyAlignment="1">
      <alignment horizontal="center" vertical="center"/>
    </xf>
    <xf numFmtId="0" fontId="14" fillId="2" borderId="9" xfId="0" applyFont="1" applyFill="1" applyBorder="1"/>
    <xf numFmtId="0" fontId="9" fillId="6" borderId="0" xfId="0" applyFont="1" applyFill="1"/>
    <xf numFmtId="0" fontId="9" fillId="6" borderId="0" xfId="0" applyFont="1" applyFill="1" applyAlignment="1">
      <alignment horizontal="left" vertical="center"/>
    </xf>
    <xf numFmtId="0" fontId="14" fillId="6" borderId="8" xfId="0" applyFont="1" applyFill="1" applyBorder="1"/>
    <xf numFmtId="0" fontId="14" fillId="6" borderId="9" xfId="0" applyFont="1" applyFill="1" applyBorder="1"/>
    <xf numFmtId="0" fontId="9" fillId="0" borderId="0" xfId="0" applyFont="1" applyAlignment="1">
      <alignment horizontal="center"/>
    </xf>
    <xf numFmtId="0" fontId="15" fillId="0" borderId="0" xfId="0" applyFont="1"/>
    <xf numFmtId="0" fontId="16" fillId="0" borderId="0" xfId="0" applyFont="1"/>
    <xf numFmtId="0" fontId="11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14" fillId="2" borderId="8" xfId="0" applyFont="1" applyFill="1" applyBorder="1"/>
    <xf numFmtId="0" fontId="9" fillId="0" borderId="0" xfId="0" applyFont="1" applyFill="1" applyProtection="1">
      <protection locked="0"/>
    </xf>
    <xf numFmtId="0" fontId="17" fillId="0" borderId="0" xfId="0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8" borderId="0" xfId="0" applyFont="1" applyFill="1"/>
    <xf numFmtId="164" fontId="0" fillId="0" borderId="0" xfId="0" applyNumberForma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164" fontId="9" fillId="6" borderId="0" xfId="0" applyNumberFormat="1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/>
    </xf>
    <xf numFmtId="164" fontId="9" fillId="0" borderId="0" xfId="0" applyNumberFormat="1" applyFont="1" applyAlignment="1">
      <alignment horizontal="center" vertical="center"/>
    </xf>
    <xf numFmtId="0" fontId="21" fillId="7" borderId="5" xfId="0" applyFont="1" applyFill="1" applyBorder="1"/>
    <xf numFmtId="0" fontId="21" fillId="7" borderId="6" xfId="0" applyFont="1" applyFill="1" applyBorder="1"/>
    <xf numFmtId="0" fontId="21" fillId="7" borderId="7" xfId="0" applyFont="1" applyFill="1" applyBorder="1"/>
    <xf numFmtId="49" fontId="22" fillId="5" borderId="10" xfId="1" applyNumberFormat="1" applyFont="1" applyBorder="1" applyAlignment="1" applyProtection="1">
      <alignment horizontal="center" vertical="center"/>
      <protection locked="0"/>
    </xf>
    <xf numFmtId="164" fontId="9" fillId="0" borderId="0" xfId="0" applyNumberFormat="1" applyFont="1"/>
    <xf numFmtId="0" fontId="0" fillId="0" borderId="0" xfId="0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49" fontId="9" fillId="2" borderId="0" xfId="0" applyNumberFormat="1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164" fontId="23" fillId="6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left"/>
    </xf>
    <xf numFmtId="164" fontId="24" fillId="6" borderId="0" xfId="0" applyNumberFormat="1" applyFont="1" applyFill="1" applyAlignment="1">
      <alignment horizontal="center" vertical="center"/>
    </xf>
    <xf numFmtId="0" fontId="14" fillId="6" borderId="0" xfId="0" applyFont="1" applyFill="1" applyBorder="1"/>
    <xf numFmtId="164" fontId="9" fillId="0" borderId="0" xfId="0" applyNumberFormat="1" applyFont="1" applyAlignment="1">
      <alignment horizontal="center"/>
    </xf>
    <xf numFmtId="164" fontId="19" fillId="6" borderId="0" xfId="0" applyNumberFormat="1" applyFont="1" applyFill="1" applyAlignment="1">
      <alignment horizontal="center"/>
    </xf>
    <xf numFmtId="0" fontId="28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0" fontId="0" fillId="0" borderId="0" xfId="0"/>
    <xf numFmtId="0" fontId="30" fillId="0" borderId="0" xfId="0" applyFont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6" fillId="7" borderId="12" xfId="0" applyFont="1" applyFill="1" applyBorder="1" applyAlignment="1">
      <alignment horizontal="center"/>
    </xf>
    <xf numFmtId="0" fontId="27" fillId="2" borderId="13" xfId="0" applyFont="1" applyFill="1" applyBorder="1"/>
    <xf numFmtId="0" fontId="18" fillId="8" borderId="14" xfId="0" applyFont="1" applyFill="1" applyBorder="1"/>
    <xf numFmtId="0" fontId="27" fillId="2" borderId="15" xfId="0" applyFont="1" applyFill="1" applyBorder="1"/>
    <xf numFmtId="0" fontId="18" fillId="8" borderId="11" xfId="0" applyFont="1" applyFill="1" applyBorder="1"/>
    <xf numFmtId="0" fontId="14" fillId="2" borderId="11" xfId="0" applyFont="1" applyFill="1" applyBorder="1"/>
    <xf numFmtId="0" fontId="25" fillId="8" borderId="11" xfId="0" applyFont="1" applyFill="1" applyBorder="1"/>
    <xf numFmtId="0" fontId="29" fillId="2" borderId="15" xfId="0" applyFont="1" applyFill="1" applyBorder="1"/>
    <xf numFmtId="164" fontId="31" fillId="6" borderId="0" xfId="0" applyNumberFormat="1" applyFont="1" applyFill="1" applyAlignment="1">
      <alignment horizontal="center" vertical="center"/>
    </xf>
    <xf numFmtId="0" fontId="14" fillId="2" borderId="14" xfId="0" applyFont="1" applyFill="1" applyBorder="1"/>
    <xf numFmtId="166" fontId="9" fillId="2" borderId="0" xfId="0" applyNumberFormat="1" applyFont="1" applyFill="1" applyAlignment="1">
      <alignment horizontal="center"/>
    </xf>
    <xf numFmtId="166" fontId="9" fillId="0" borderId="0" xfId="0" applyNumberFormat="1" applyFont="1"/>
    <xf numFmtId="164" fontId="32" fillId="6" borderId="0" xfId="0" applyNumberFormat="1" applyFont="1" applyFill="1" applyAlignment="1">
      <alignment horizontal="center" vertical="center"/>
    </xf>
    <xf numFmtId="0" fontId="29" fillId="2" borderId="8" xfId="0" applyFont="1" applyFill="1" applyBorder="1"/>
    <xf numFmtId="0" fontId="34" fillId="9" borderId="0" xfId="0" applyFont="1" applyFill="1"/>
    <xf numFmtId="0" fontId="35" fillId="9" borderId="0" xfId="0" applyFont="1" applyFill="1"/>
    <xf numFmtId="0" fontId="9" fillId="0" borderId="0" xfId="0" applyFont="1" applyFill="1" applyAlignment="1"/>
    <xf numFmtId="164" fontId="9" fillId="0" borderId="0" xfId="0" applyNumberFormat="1" applyFont="1" applyFill="1" applyAlignment="1">
      <alignment horizontal="center"/>
    </xf>
    <xf numFmtId="0" fontId="9" fillId="10" borderId="0" xfId="0" applyFont="1" applyFill="1" applyAlignment="1"/>
    <xf numFmtId="0" fontId="9" fillId="10" borderId="0" xfId="0" applyFont="1" applyFill="1"/>
    <xf numFmtId="0" fontId="0" fillId="6" borderId="0" xfId="0" applyFill="1"/>
    <xf numFmtId="0" fontId="34" fillId="9" borderId="5" xfId="0" applyFont="1" applyFill="1" applyBorder="1"/>
    <xf numFmtId="0" fontId="34" fillId="9" borderId="6" xfId="0" applyFont="1" applyFill="1" applyBorder="1"/>
    <xf numFmtId="0" fontId="35" fillId="9" borderId="7" xfId="0" applyFont="1" applyFill="1" applyBorder="1"/>
    <xf numFmtId="0" fontId="36" fillId="0" borderId="0" xfId="2" applyFont="1"/>
    <xf numFmtId="0" fontId="3" fillId="0" borderId="0" xfId="2"/>
    <xf numFmtId="0" fontId="37" fillId="0" borderId="0" xfId="2" applyFont="1"/>
    <xf numFmtId="14" fontId="33" fillId="12" borderId="19" xfId="2" applyNumberFormat="1" applyFont="1" applyFill="1" applyBorder="1"/>
    <xf numFmtId="0" fontId="33" fillId="13" borderId="20" xfId="2" applyFont="1" applyFill="1" applyBorder="1" applyAlignment="1">
      <alignment horizontal="center"/>
    </xf>
    <xf numFmtId="164" fontId="3" fillId="14" borderId="22" xfId="2" applyNumberFormat="1" applyFill="1" applyBorder="1" applyAlignment="1">
      <alignment horizontal="center"/>
    </xf>
    <xf numFmtId="0" fontId="38" fillId="12" borderId="23" xfId="2" applyFont="1" applyFill="1" applyBorder="1"/>
    <xf numFmtId="164" fontId="3" fillId="0" borderId="0" xfId="2" applyNumberFormat="1"/>
    <xf numFmtId="0" fontId="3" fillId="0" borderId="0" xfId="2" applyFont="1"/>
    <xf numFmtId="0" fontId="38" fillId="12" borderId="25" xfId="2" applyFont="1" applyFill="1" applyBorder="1"/>
    <xf numFmtId="0" fontId="39" fillId="0" borderId="0" xfId="2" applyFont="1"/>
    <xf numFmtId="0" fontId="40" fillId="0" borderId="0" xfId="2" applyFont="1" applyAlignment="1">
      <alignment horizontal="right"/>
    </xf>
    <xf numFmtId="164" fontId="41" fillId="0" borderId="0" xfId="2" applyNumberFormat="1" applyFont="1"/>
    <xf numFmtId="0" fontId="42" fillId="0" borderId="0" xfId="2" applyFont="1"/>
    <xf numFmtId="164" fontId="3" fillId="0" borderId="0" xfId="2" applyNumberFormat="1" applyAlignment="1">
      <alignment horizontal="center"/>
    </xf>
    <xf numFmtId="0" fontId="3" fillId="0" borderId="0" xfId="2" applyAlignment="1">
      <alignment horizontal="center"/>
    </xf>
    <xf numFmtId="164" fontId="43" fillId="0" borderId="0" xfId="2" applyNumberFormat="1" applyFont="1" applyAlignment="1">
      <alignment horizontal="center"/>
    </xf>
    <xf numFmtId="0" fontId="38" fillId="0" borderId="0" xfId="2" applyFont="1"/>
    <xf numFmtId="0" fontId="38" fillId="0" borderId="0" xfId="2" applyFont="1" applyAlignment="1">
      <alignment horizontal="center"/>
    </xf>
    <xf numFmtId="164" fontId="3" fillId="15" borderId="0" xfId="2" applyNumberFormat="1" applyFill="1" applyAlignment="1">
      <alignment horizontal="center"/>
    </xf>
    <xf numFmtId="0" fontId="3" fillId="15" borderId="0" xfId="2" applyFont="1" applyFill="1" applyAlignment="1">
      <alignment horizontal="center"/>
    </xf>
    <xf numFmtId="20" fontId="3" fillId="0" borderId="0" xfId="2" applyNumberFormat="1"/>
    <xf numFmtId="164" fontId="5" fillId="6" borderId="0" xfId="0" applyNumberFormat="1" applyFont="1" applyFill="1" applyAlignment="1">
      <alignment horizontal="center"/>
    </xf>
    <xf numFmtId="0" fontId="3" fillId="0" borderId="0" xfId="2" applyAlignment="1">
      <alignment horizontal="right"/>
    </xf>
    <xf numFmtId="0" fontId="5" fillId="0" borderId="0" xfId="0" applyFont="1"/>
    <xf numFmtId="0" fontId="44" fillId="0" borderId="0" xfId="0" applyFont="1"/>
    <xf numFmtId="0" fontId="45" fillId="0" borderId="0" xfId="0" applyFont="1"/>
    <xf numFmtId="0" fontId="0" fillId="0" borderId="0" xfId="0" applyFont="1"/>
    <xf numFmtId="0" fontId="0" fillId="17" borderId="24" xfId="0" applyFill="1" applyBorder="1" applyAlignment="1">
      <alignment horizontal="center"/>
    </xf>
    <xf numFmtId="0" fontId="46" fillId="17" borderId="24" xfId="0" applyFont="1" applyFill="1" applyBorder="1"/>
    <xf numFmtId="0" fontId="0" fillId="17" borderId="24" xfId="0" applyFill="1" applyBorder="1"/>
    <xf numFmtId="0" fontId="0" fillId="0" borderId="24" xfId="0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left"/>
    </xf>
    <xf numFmtId="164" fontId="47" fillId="0" borderId="24" xfId="0" applyNumberFormat="1" applyFont="1" applyBorder="1" applyAlignment="1">
      <alignment horizontal="center"/>
    </xf>
    <xf numFmtId="1" fontId="48" fillId="0" borderId="24" xfId="0" applyNumberFormat="1" applyFon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49" fillId="0" borderId="0" xfId="0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50" fillId="0" borderId="0" xfId="0" applyFont="1"/>
    <xf numFmtId="0" fontId="51" fillId="0" borderId="0" xfId="0" applyFont="1"/>
    <xf numFmtId="1" fontId="0" fillId="0" borderId="0" xfId="0" applyNumberFormat="1"/>
    <xf numFmtId="0" fontId="33" fillId="13" borderId="19" xfId="2" applyFont="1" applyFill="1" applyBorder="1" applyAlignment="1">
      <alignment horizontal="center"/>
    </xf>
    <xf numFmtId="164" fontId="3" fillId="14" borderId="21" xfId="2" applyNumberFormat="1" applyFill="1" applyBorder="1" applyAlignment="1">
      <alignment horizontal="center"/>
    </xf>
    <xf numFmtId="164" fontId="3" fillId="14" borderId="26" xfId="2" applyNumberFormat="1" applyFill="1" applyBorder="1" applyAlignment="1">
      <alignment horizontal="center"/>
    </xf>
    <xf numFmtId="164" fontId="23" fillId="12" borderId="0" xfId="0" applyNumberFormat="1" applyFont="1" applyFill="1" applyAlignment="1">
      <alignment horizontal="center" vertical="center"/>
    </xf>
    <xf numFmtId="1" fontId="9" fillId="6" borderId="0" xfId="0" applyNumberFormat="1" applyFont="1" applyFill="1" applyAlignment="1">
      <alignment horizontal="center" vertical="center"/>
    </xf>
    <xf numFmtId="22" fontId="9" fillId="0" borderId="0" xfId="0" applyNumberFormat="1" applyFont="1"/>
    <xf numFmtId="0" fontId="17" fillId="0" borderId="0" xfId="0" applyFont="1" applyAlignment="1">
      <alignment horizontal="left"/>
    </xf>
    <xf numFmtId="0" fontId="14" fillId="2" borderId="27" xfId="0" applyFont="1" applyFill="1" applyBorder="1"/>
    <xf numFmtId="0" fontId="9" fillId="6" borderId="9" xfId="0" applyFont="1" applyFill="1" applyBorder="1" applyAlignment="1">
      <alignment horizontal="left" vertical="center"/>
    </xf>
    <xf numFmtId="0" fontId="53" fillId="8" borderId="15" xfId="0" applyNumberFormat="1" applyFont="1" applyFill="1" applyBorder="1"/>
    <xf numFmtId="0" fontId="53" fillId="8" borderId="9" xfId="0" applyNumberFormat="1" applyFont="1" applyFill="1" applyBorder="1"/>
    <xf numFmtId="0" fontId="53" fillId="8" borderId="11" xfId="0" applyNumberFormat="1" applyFont="1" applyFill="1" applyBorder="1"/>
    <xf numFmtId="0" fontId="29" fillId="2" borderId="15" xfId="0" applyFont="1" applyFill="1" applyBorder="1" applyProtection="1">
      <protection locked="0"/>
    </xf>
    <xf numFmtId="0" fontId="53" fillId="8" borderId="15" xfId="0" applyNumberFormat="1" applyFont="1" applyFill="1" applyBorder="1" applyProtection="1">
      <protection locked="0"/>
    </xf>
    <xf numFmtId="0" fontId="53" fillId="8" borderId="11" xfId="0" applyNumberFormat="1" applyFont="1" applyFill="1" applyBorder="1" applyProtection="1">
      <protection locked="0"/>
    </xf>
    <xf numFmtId="0" fontId="53" fillId="8" borderId="12" xfId="0" applyNumberFormat="1" applyFont="1" applyFill="1" applyBorder="1" applyProtection="1">
      <protection locked="0"/>
    </xf>
    <xf numFmtId="0" fontId="14" fillId="2" borderId="11" xfId="0" applyFont="1" applyFill="1" applyBorder="1" applyProtection="1">
      <protection locked="0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5" fillId="0" borderId="0" xfId="0" applyFont="1" applyAlignment="1"/>
    <xf numFmtId="164" fontId="5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3" fillId="0" borderId="0" xfId="2"/>
    <xf numFmtId="166" fontId="0" fillId="0" borderId="0" xfId="0" applyNumberFormat="1"/>
    <xf numFmtId="0" fontId="0" fillId="0" borderId="0" xfId="0" applyFill="1"/>
    <xf numFmtId="0" fontId="5" fillId="0" borderId="0" xfId="0" applyFont="1" applyFill="1"/>
    <xf numFmtId="164" fontId="0" fillId="0" borderId="0" xfId="0" applyNumberFormat="1" applyFill="1"/>
    <xf numFmtId="0" fontId="54" fillId="0" borderId="0" xfId="0" applyFont="1" applyFill="1"/>
    <xf numFmtId="0" fontId="5" fillId="0" borderId="0" xfId="0" applyFont="1" applyFill="1" applyAlignment="1"/>
    <xf numFmtId="164" fontId="5" fillId="0" borderId="0" xfId="0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6" fontId="5" fillId="0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5" fontId="5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8" fillId="8" borderId="15" xfId="0" applyNumberFormat="1" applyFont="1" applyFill="1" applyBorder="1" applyProtection="1">
      <protection locked="0"/>
    </xf>
    <xf numFmtId="0" fontId="18" fillId="8" borderId="11" xfId="0" applyNumberFormat="1" applyFont="1" applyFill="1" applyBorder="1" applyProtection="1">
      <protection locked="0"/>
    </xf>
    <xf numFmtId="0" fontId="18" fillId="8" borderId="12" xfId="0" applyNumberFormat="1" applyFont="1" applyFill="1" applyBorder="1" applyProtection="1">
      <protection locked="0"/>
    </xf>
    <xf numFmtId="0" fontId="18" fillId="8" borderId="15" xfId="0" applyNumberFormat="1" applyFont="1" applyFill="1" applyBorder="1"/>
    <xf numFmtId="0" fontId="18" fillId="8" borderId="11" xfId="0" applyNumberFormat="1" applyFont="1" applyFill="1" applyBorder="1"/>
    <xf numFmtId="0" fontId="55" fillId="0" borderId="0" xfId="0" applyFont="1"/>
    <xf numFmtId="164" fontId="55" fillId="0" borderId="0" xfId="0" applyNumberFormat="1" applyFont="1"/>
    <xf numFmtId="0" fontId="55" fillId="0" borderId="0" xfId="0" applyFont="1" applyFill="1"/>
    <xf numFmtId="164" fontId="55" fillId="0" borderId="0" xfId="0" applyNumberFormat="1" applyFont="1" applyFill="1"/>
    <xf numFmtId="0" fontId="57" fillId="0" borderId="0" xfId="0" applyFont="1" applyFill="1"/>
    <xf numFmtId="0" fontId="14" fillId="0" borderId="0" xfId="0" applyFont="1" applyFill="1"/>
    <xf numFmtId="0" fontId="14" fillId="0" borderId="0" xfId="0" applyFont="1"/>
    <xf numFmtId="0" fontId="58" fillId="0" borderId="0" xfId="0" applyFont="1"/>
    <xf numFmtId="0" fontId="2" fillId="0" borderId="0" xfId="2" applyFont="1"/>
    <xf numFmtId="0" fontId="38" fillId="12" borderId="28" xfId="2" applyFont="1" applyFill="1" applyBorder="1"/>
    <xf numFmtId="164" fontId="3" fillId="0" borderId="23" xfId="2" applyNumberFormat="1" applyBorder="1" applyAlignment="1">
      <alignment horizontal="center"/>
    </xf>
    <xf numFmtId="164" fontId="3" fillId="0" borderId="25" xfId="2" applyNumberFormat="1" applyBorder="1" applyAlignment="1">
      <alignment horizontal="center"/>
    </xf>
    <xf numFmtId="0" fontId="59" fillId="6" borderId="0" xfId="0" applyFont="1" applyFill="1"/>
    <xf numFmtId="0" fontId="60" fillId="6" borderId="0" xfId="0" applyFont="1" applyFill="1" applyAlignment="1">
      <alignment horizontal="left" vertical="center"/>
    </xf>
    <xf numFmtId="0" fontId="59" fillId="6" borderId="0" xfId="0" applyFont="1" applyFill="1" applyAlignment="1">
      <alignment horizontal="left" vertical="center"/>
    </xf>
    <xf numFmtId="164" fontId="59" fillId="6" borderId="0" xfId="0" applyNumberFormat="1" applyFont="1" applyFill="1"/>
    <xf numFmtId="0" fontId="60" fillId="6" borderId="0" xfId="0" applyFont="1" applyFill="1"/>
    <xf numFmtId="164" fontId="18" fillId="8" borderId="9" xfId="0" applyNumberFormat="1" applyFont="1" applyFill="1" applyBorder="1"/>
    <xf numFmtId="166" fontId="0" fillId="0" borderId="0" xfId="0" applyNumberFormat="1" applyAlignment="1">
      <alignment horizontal="center" vertical="center"/>
    </xf>
    <xf numFmtId="0" fontId="3" fillId="0" borderId="0" xfId="2"/>
    <xf numFmtId="0" fontId="1" fillId="0" borderId="0" xfId="2" applyFont="1"/>
    <xf numFmtId="0" fontId="61" fillId="8" borderId="15" xfId="0" applyNumberFormat="1" applyFont="1" applyFill="1" applyBorder="1" applyProtection="1">
      <protection locked="0"/>
    </xf>
    <xf numFmtId="0" fontId="61" fillId="8" borderId="11" xfId="0" applyNumberFormat="1" applyFont="1" applyFill="1" applyBorder="1" applyProtection="1">
      <protection locked="0"/>
    </xf>
    <xf numFmtId="0" fontId="61" fillId="8" borderId="12" xfId="0" applyNumberFormat="1" applyFont="1" applyFill="1" applyBorder="1" applyProtection="1">
      <protection locked="0"/>
    </xf>
    <xf numFmtId="0" fontId="62" fillId="12" borderId="0" xfId="0" applyFont="1" applyFill="1" applyAlignment="1">
      <alignment horizontal="left"/>
    </xf>
    <xf numFmtId="0" fontId="9" fillId="12" borderId="0" xfId="0" applyFont="1" applyFill="1" applyAlignment="1">
      <alignment horizontal="center"/>
    </xf>
    <xf numFmtId="164" fontId="1" fillId="0" borderId="0" xfId="2" applyNumberFormat="1" applyFont="1"/>
    <xf numFmtId="164" fontId="1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165" fontId="5" fillId="0" borderId="0" xfId="0" applyNumberFormat="1" applyFont="1" applyFill="1"/>
    <xf numFmtId="167" fontId="0" fillId="0" borderId="0" xfId="0" applyNumberFormat="1" applyAlignment="1">
      <alignment horizontal="center"/>
    </xf>
    <xf numFmtId="164" fontId="63" fillId="6" borderId="0" xfId="0" applyNumberFormat="1" applyFont="1" applyFill="1" applyAlignment="1">
      <alignment horizontal="center" vertical="center"/>
    </xf>
    <xf numFmtId="164" fontId="9" fillId="6" borderId="0" xfId="0" applyNumberFormat="1" applyFont="1" applyFill="1"/>
    <xf numFmtId="0" fontId="12" fillId="0" borderId="0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1" fillId="0" borderId="0" xfId="0" applyFont="1" applyFill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33" fillId="11" borderId="16" xfId="2" applyFont="1" applyFill="1" applyBorder="1" applyAlignment="1">
      <alignment horizontal="center"/>
    </xf>
    <xf numFmtId="0" fontId="33" fillId="11" borderId="18" xfId="2" applyFont="1" applyFill="1" applyBorder="1" applyAlignment="1">
      <alignment horizontal="center"/>
    </xf>
    <xf numFmtId="0" fontId="33" fillId="11" borderId="17" xfId="2" applyFont="1" applyFill="1" applyBorder="1" applyAlignment="1">
      <alignment horizontal="center"/>
    </xf>
    <xf numFmtId="14" fontId="33" fillId="11" borderId="16" xfId="2" applyNumberFormat="1" applyFont="1" applyFill="1" applyBorder="1" applyAlignment="1">
      <alignment horizontal="center"/>
    </xf>
    <xf numFmtId="14" fontId="33" fillId="11" borderId="18" xfId="2" applyNumberFormat="1" applyFont="1" applyFill="1" applyBorder="1" applyAlignment="1">
      <alignment horizontal="center"/>
    </xf>
    <xf numFmtId="14" fontId="33" fillId="11" borderId="17" xfId="2" applyNumberFormat="1" applyFont="1" applyFill="1" applyBorder="1" applyAlignment="1">
      <alignment horizontal="center"/>
    </xf>
    <xf numFmtId="0" fontId="3" fillId="0" borderId="0" xfId="2"/>
    <xf numFmtId="0" fontId="46" fillId="0" borderId="0" xfId="2" applyFont="1"/>
    <xf numFmtId="0" fontId="17" fillId="0" borderId="0" xfId="0" applyFont="1" applyAlignment="1">
      <alignment horizontal="left"/>
    </xf>
    <xf numFmtId="0" fontId="56" fillId="0" borderId="0" xfId="0" applyFont="1" applyAlignment="1">
      <alignment horizontal="center"/>
    </xf>
  </cellXfs>
  <cellStyles count="3">
    <cellStyle name="Calculation" xfId="1" builtinId="22"/>
    <cellStyle name="Normal" xfId="0" builtinId="0"/>
    <cellStyle name="Normal 2" xfId="2" xr:uid="{111E8004-6272-4D2F-B14D-24DEA2E0B822}"/>
  </cellStyles>
  <dxfs count="71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0.0000"/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0.000"/>
      <alignment horizontal="center" vertical="bottom" textRotation="0" wrapText="0" indent="0" justifyLastLine="0" shrinkToFit="0" readingOrder="0"/>
    </dxf>
    <dxf>
      <numFmt numFmtId="166" formatCode="0.0000"/>
      <alignment horizontal="center" vertical="bottom" textRotation="0" wrapText="0" indent="0" justifyLastLine="0" shrinkToFit="0" readingOrder="0"/>
    </dxf>
    <dxf>
      <numFmt numFmtId="166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6" formatCode="0.0000"/>
    </dxf>
    <dxf>
      <numFmt numFmtId="166" formatCode="0.0000"/>
      <alignment horizontal="center" vertical="bottom" textRotation="0" wrapText="0" indent="0" justifyLastLine="0" shrinkToFit="0" readingOrder="0"/>
    </dxf>
    <dxf>
      <numFmt numFmtId="166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indexed="42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indexed="42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none"/>
      </font>
      <fill>
        <patternFill patternType="solid">
          <fgColor rgb="FF000000"/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6" formatCode="0.0000"/>
      <alignment horizontal="center" vertical="bottom" textRotation="0" wrapText="0" indent="0" justifyLastLine="0" shrinkToFit="0" readingOrder="0"/>
    </dxf>
    <dxf>
      <numFmt numFmtId="166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indexed="42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fill>
        <patternFill patternType="solid">
          <fgColor indexed="64"/>
          <bgColor rgb="FFFFCCCC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indexed="42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solid">
          <fgColor indexed="64"/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"/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"/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"/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 patternType="solid">
          <fgColor indexed="64"/>
          <bgColor rgb="FFCCFFCC"/>
        </patternFill>
      </fill>
    </dxf>
    <dxf>
      <fill>
        <patternFill patternType="solid">
          <fgColor indexed="64"/>
          <bgColor rgb="FFCCFFCC"/>
        </patternFill>
      </fill>
    </dxf>
    <dxf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 patternType="solid">
          <fgColor indexed="64"/>
          <bgColor rgb="FFCCFFCC"/>
        </patternFill>
      </fill>
    </dxf>
    <dxf>
      <fill>
        <patternFill patternType="solid">
          <fgColor indexed="64"/>
          <bgColor rgb="FFCCFFCC"/>
        </patternFill>
      </fill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"/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00"/>
      <fill>
        <patternFill patternType="solid">
          <fgColor indexed="64"/>
          <bgColor rgb="FFCCFF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.000"/>
      <fill>
        <patternFill patternType="solid">
          <fgColor indexed="64"/>
          <bgColor rgb="FFCCFF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rgb="FFCCFF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rgb="FFCCFFCC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rgb="FFCCFFCC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3399"/>
      <color rgb="FFCCFFCC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deaux/Surv_SD/Survey%20Data/2019/MONITORING/AA7_MENANGLE%20ROAD/191105/OUTPUT/MenangleRd_2D3D_LW708%20Calcs%200511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LSYD-FIL01\depts\Cordeaux\Surv_SD\Survey%20Results\708A%20Results\AA7%20Menangle%20Road%20Results_LW707_EOW%20Geoid9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BM Adoption GNSS"/>
      <sheetName val="Survey Data"/>
      <sheetName val="Output"/>
      <sheetName val="Temp Area"/>
      <sheetName val="MenangleRd_2D3D_LW708 Calcs 05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3D Data"/>
      <sheetName val="2D Data"/>
      <sheetName val="Incremental Vectors"/>
      <sheetName val="Cumulative Vectors"/>
      <sheetName val="Subsidence"/>
      <sheetName val="Strain"/>
      <sheetName val="SSIMS Form"/>
      <sheetName val="BASE DATA"/>
      <sheetName val="INPUT DATA"/>
      <sheetName val="VECTOR PLOTTING"/>
      <sheetName val="XML GENERATOR"/>
      <sheetName val="PREDICTIONS"/>
      <sheetName val="DEFINITIONS"/>
      <sheetName val="LONGWALL"/>
      <sheetName val="CHARTING"/>
      <sheetName val="AA7 Menangle Road Results_LW7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INPUT_2D" displayName="Table_INPUT_2D" ref="A20:E534" totalsRowShown="0" headerRowDxfId="70" dataDxfId="69">
  <autoFilter ref="A20:E534" xr:uid="{00000000-0009-0000-0100-000001000000}"/>
  <tableColumns count="5">
    <tableColumn id="1" xr3:uid="{00000000-0010-0000-0000-000001000000}" name="Unique ID" dataDxfId="68"/>
    <tableColumn id="2" xr3:uid="{00000000-0010-0000-0000-000002000000}" name="Point" dataDxfId="67"/>
    <tableColumn id="3" xr3:uid="{00000000-0010-0000-0000-000003000000}" name="X" dataDxfId="66"/>
    <tableColumn id="4" xr3:uid="{00000000-0010-0000-0000-000004000000}" name="Y" dataDxfId="65"/>
    <tableColumn id="5" xr3:uid="{00000000-0010-0000-0000-000005000000}" name="Z" dataDxfId="6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INPUT_Compnet" displayName="Table_INPUT_Compnet" ref="H20:J146" totalsRowShown="0" headerRowDxfId="63" dataDxfId="62">
  <autoFilter ref="H20:J146" xr:uid="{00000000-0009-0000-0100-000003000000}"/>
  <tableColumns count="3">
    <tableColumn id="1" xr3:uid="{00000000-0010-0000-0100-000001000000}" name="PT" dataDxfId="61"/>
    <tableColumn id="2" xr3:uid="{00000000-0010-0000-0100-000002000000}" name="East" dataDxfId="60"/>
    <tableColumn id="3" xr3:uid="{00000000-0010-0000-0100-000003000000}" name="North" dataDxfId="5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62C564-2AEC-4600-89FB-C3E0F703913C}" name="Current_GNSS" displayName="Current_GNSS" ref="L28:N36" totalsRowShown="0" dataDxfId="58">
  <autoFilter ref="L28:N36" xr:uid="{DAD15956-B7CA-41FB-8ED7-33D9271F7BC7}"/>
  <tableColumns count="3">
    <tableColumn id="1" xr3:uid="{260555A5-0AEF-4048-896F-A44F6D4536DC}" name="Mark_ID" dataDxfId="57"/>
    <tableColumn id="2" xr3:uid="{9C820F08-CC3F-4C06-ABBE-EF75E1FA0113}" name="HT" dataDxfId="56"/>
    <tableColumn id="3" xr3:uid="{8A678471-2802-491E-8C38-595B3AECFC17}" name="Comments" dataDxfId="5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DBBD1A3-2031-491A-B3BB-94E869037767}" name="Current_GNNS_HTS" displayName="Current_GNNS_HTS" ref="L41:N49" totalsRowShown="0" dataDxfId="54">
  <autoFilter ref="L41:N49" xr:uid="{9896F35D-3FC9-47BA-83DE-12623C239D32}"/>
  <tableColumns count="3">
    <tableColumn id="1" xr3:uid="{BACF133F-1492-4EE7-82B9-FC82E634C515}" name="Mark_ID" dataDxfId="53"/>
    <tableColumn id="2" xr3:uid="{A1680BE1-675A-4759-80F5-F5023B2D4E4A}" name="Inst_HT" dataDxfId="52"/>
    <tableColumn id="3" xr3:uid="{511A59A2-E893-4D8E-9014-B58C75459E92}" name="Comments" dataDxfId="5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9168697-6CAF-4487-98F0-D8BC3814EF5C}" name="ARB_STN_CRD" displayName="ARB_STN_CRD" ref="L54:O62" totalsRowShown="0" dataDxfId="50">
  <autoFilter ref="L54:O62" xr:uid="{C65565C4-1BB4-4DC9-A0D9-18C3FE9F80F4}"/>
  <tableColumns count="4">
    <tableColumn id="1" xr3:uid="{3100DC29-75C6-4360-BCB1-E5478E152655}" name="STN" dataDxfId="49"/>
    <tableColumn id="2" xr3:uid="{DBBC671F-8DA9-40CF-9CEB-618F8ED43BF0}" name="X" dataDxfId="48"/>
    <tableColumn id="3" xr3:uid="{8BF02478-14E7-44A8-BAEA-0FC03E4C2E18}" name="Y" dataDxfId="47"/>
    <tableColumn id="4" xr3:uid="{31E88D76-B6A9-4FD9-90B9-8F24E0DF1E5C}" name="Z" dataDxfId="4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C94F5B3-CB95-4700-A37D-5C7B737207DB}" name="Current_BMS" displayName="Current_BMS" ref="L20:N23" totalsRowShown="0">
  <autoFilter ref="L20:N23" xr:uid="{8B60EF2F-CCE6-40A8-8A83-5B4CCE395A03}"/>
  <tableColumns count="3">
    <tableColumn id="1" xr3:uid="{90E5518E-9AE2-4C4B-A2BB-2649A8E01F9E}" name="BM"/>
    <tableColumn id="2" xr3:uid="{E3F53244-210E-4488-A241-0F82AB48BF19}" name="HT" dataDxfId="45"/>
    <tableColumn id="3" xr3:uid="{BE9D4BAE-B0DF-46B7-96B4-C91408647DF6}" name="Comments" dataDxfId="4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e8" displayName="Table8" ref="A25:E447" totalsRowShown="0" headerRowDxfId="43" dataDxfId="42">
  <autoFilter ref="A25:E447" xr:uid="{00000000-0009-0000-0100-000008000000}"/>
  <tableColumns count="5">
    <tableColumn id="1" xr3:uid="{00000000-0010-0000-0200-000001000000}" name="POINT" dataDxfId="41"/>
    <tableColumn id="2" xr3:uid="{00000000-0010-0000-0200-000002000000}" name="EAST" dataDxfId="40">
      <calculatedColumnFormula>_xlfn.IFNA(INDEX(Table_INPUT_2D[X],MATCH(Table8[[#This Row],[UID]],Table_INPUT_2D[Unique ID],0)),"")</calculatedColumnFormula>
    </tableColumn>
    <tableColumn id="3" xr3:uid="{00000000-0010-0000-0200-000003000000}" name="NORTH" dataDxfId="39">
      <calculatedColumnFormula>_xlfn.IFNA(INDEX(Table_INPUT_2D[Y],MATCH(Table8[[#This Row],[UID]],Table_INPUT_2D[Unique ID],0)),"")</calculatedColumnFormula>
    </tableColumn>
    <tableColumn id="4" xr3:uid="{00000000-0010-0000-0200-000004000000}" name="HEIGHT" dataDxfId="38">
      <calculatedColumnFormula>_xlfn.IFNA(INDEX(Table_INPUT_2D[Z],MATCH(Table8[[#This Row],[UID]],Table_INPUT_2D[Unique ID],0)),"")</calculatedColumnFormula>
    </tableColumn>
    <tableColumn id="5" xr3:uid="{00000000-0010-0000-0200-000005000000}" name="UID" dataDxfId="3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9" displayName="Table9" ref="AJ27:AL160" totalsRowShown="0" headerRowDxfId="36">
  <autoFilter ref="AJ27:AL160" xr:uid="{00000000-0009-0000-0100-000009000000}"/>
  <tableColumns count="3">
    <tableColumn id="1" xr3:uid="{00000000-0010-0000-0300-000001000000}" name="Point"/>
    <tableColumn id="2" xr3:uid="{00000000-0010-0000-0300-000002000000}" name="R.L." dataDxfId="35"/>
    <tableColumn id="3" xr3:uid="{00000000-0010-0000-0300-000003000000}" name="HzDistance" dataDxfId="34">
      <calculatedColumnFormula>IF(VLOOKUP($AJ28,$AC$28:$AH$179,6,)=0,"",VLOOKUP($AJ28,$AC$28:$AH$179,6,))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208F4D-9DDA-4B80-B14B-3488670C5191}" name="Table83" displayName="Table83" ref="A8:E38" totalsRowShown="0" headerRowDxfId="33" dataDxfId="32">
  <autoFilter ref="A8:E38" xr:uid="{00000000-0009-0000-0100-000008000000}"/>
  <tableColumns count="5">
    <tableColumn id="1" xr3:uid="{5C4B1DA3-A485-4A37-BAA1-7C7F80E1D7B7}" name="POINT" dataDxfId="31"/>
    <tableColumn id="2" xr3:uid="{B28E5F95-BC6B-43FE-9F6A-F364645F0358}" name="EAST" dataDxfId="30">
      <calculatedColumnFormula>_xlfn.IFNA(INDEX(Table_INPUT_2D[X],MATCH(Table83[[#This Row],[UID]],Table_INPUT_2D[Unique ID],0)),"")</calculatedColumnFormula>
    </tableColumn>
    <tableColumn id="3" xr3:uid="{63156256-E1C0-439C-9087-802D7CBF21D4}" name="NORTH" dataDxfId="29">
      <calculatedColumnFormula>_xlfn.IFNA(INDEX(Table_INPUT_2D[Y],MATCH(Table83[[#This Row],[UID]],Table_INPUT_2D[Unique ID],0)),"")</calculatedColumnFormula>
    </tableColumn>
    <tableColumn id="4" xr3:uid="{CDD23CD3-7F0F-4C52-A47A-D10E3C272EF3}" name="HEIGHT" dataDxfId="28">
      <calculatedColumnFormula>_xlfn.IFNA(INDEX(Table_INPUT_2D[Z],MATCH(Table83[[#This Row],[UID]],Table_INPUT_2D[Unique ID],0)),"")</calculatedColumnFormula>
    </tableColumn>
    <tableColumn id="5" xr3:uid="{C94D9052-E2AD-4809-A0F8-038E43DB5177}" name="UID" dataDxfId="2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9159CFD-9927-46A3-85A4-B884F486A1B2}" name="Table96" displayName="Table96" ref="Y10:AB22" totalsRowShown="0" headerRowDxfId="26">
  <autoFilter ref="Y10:AB22" xr:uid="{00000000-0009-0000-0100-000009000000}"/>
  <tableColumns count="4">
    <tableColumn id="1" xr3:uid="{08248C8D-5E5A-4C99-95A8-5439104FE8A7}" name="Point"/>
    <tableColumn id="2" xr3:uid="{ACBC9C32-1BC8-4443-BE36-4EB23FE9D54C}" name="R.L." dataDxfId="25">
      <calculatedColumnFormula>VLOOKUP($Y11,$Q$11:$W$22,5,)</calculatedColumnFormula>
    </tableColumn>
    <tableColumn id="3" xr3:uid="{FECBBEF1-543D-47AE-9B71-0C1BA4512B3F}" name="Strain Hz Dist" dataDxfId="24">
      <calculatedColumnFormula>IF(VLOOKUP($Y11,$Q$11:$W$22,6,)=0,"",VLOOKUP($Y11,$Q$11:$W$22,6,))</calculatedColumnFormula>
    </tableColumn>
    <tableColumn id="4" xr3:uid="{9909A701-F858-4169-80D0-E11724B7A05A}" name="Closure Hz Dist" dataDxfId="23">
      <calculatedColumnFormula>IF(VLOOKUP($Y11,$Q$11:$W$22,7,)=0,"",VLOOKUP($Y11,$Q$11:$W$22,7,))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086C84-7C3A-41A4-AB5E-CE5515F47E54}" name="Table6" displayName="Table6" ref="Y30:AB31" totalsRowShown="0" headerRowDxfId="22" dataDxfId="21">
  <autoFilter ref="Y30:AB31" xr:uid="{080E8880-92DC-4D2C-8627-00E51BF965FD}"/>
  <tableColumns count="4">
    <tableColumn id="1" xr3:uid="{0CC18BD7-A89A-48E4-A6A8-74E3AD9713A0}" name="Point" dataDxfId="20"/>
    <tableColumn id="2" xr3:uid="{5F244629-9E1F-4A09-9746-0C53C0886BBF}" name="R.L." dataDxfId="19">
      <calculatedColumnFormula>VLOOKUP($Y31,$Q$11:$W$22,5,)</calculatedColumnFormula>
    </tableColumn>
    <tableColumn id="3" xr3:uid="{D9AD34DF-F5B3-472D-B305-0558BBB88CF3}" name="Strain Hz Dist" dataDxfId="18"/>
    <tableColumn id="4" xr3:uid="{965DA2C9-31C0-4ABE-88E5-CDFA42C0827B}" name="Closure Hz Dist" dataDxfId="17">
      <calculatedColumnFormula>VLOOKUP($Y31,$Q$28:$W$29,7,)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B4:O155" totalsRowShown="0" headerRowDxfId="16" dataDxfId="14" headerRowBorderDxfId="15">
  <autoFilter ref="B4:O155" xr:uid="{00000000-0009-0000-0100-000004000000}"/>
  <tableColumns count="14">
    <tableColumn id="1" xr3:uid="{00000000-0010-0000-0400-000001000000}" name="JOB NAME" dataDxfId="13"/>
    <tableColumn id="2" xr3:uid="{00000000-0010-0000-0400-000002000000}" name="EPOCH" dataDxfId="12">
      <calculatedColumnFormula>Input!$B$7</calculatedColumnFormula>
    </tableColumn>
    <tableColumn id="3" xr3:uid="{00000000-0010-0000-0400-000003000000}" name="LW NAME" dataDxfId="11">
      <calculatedColumnFormula>Input!$B$9</calculatedColumnFormula>
    </tableColumn>
    <tableColumn id="4" xr3:uid="{00000000-0010-0000-0400-000004000000}" name="LW REFERENCE" dataDxfId="10">
      <calculatedColumnFormula>Input!$B$10</calculatedColumnFormula>
    </tableColumn>
    <tableColumn id="5" xr3:uid="{00000000-0010-0000-0400-000005000000}" name="DATE" dataDxfId="9">
      <calculatedColumnFormula>Input!$B$5</calculatedColumnFormula>
    </tableColumn>
    <tableColumn id="6" xr3:uid="{00000000-0010-0000-0400-000006000000}" name="TYPE" dataDxfId="8"/>
    <tableColumn id="7" xr3:uid="{00000000-0010-0000-0400-000007000000}" name="MARK ID" dataDxfId="7"/>
    <tableColumn id="8" xr3:uid="{00000000-0010-0000-0400-000008000000}" name="MARK NUMBER" dataDxfId="6"/>
    <tableColumn id="9" xr3:uid="{00000000-0010-0000-0400-000009000000}" name="EASTING" dataDxfId="5">
      <calculatedColumnFormula>IF(Input!$B$12="2D","",INDEX(Input!$I$21:$I$146,MATCH(Table4[[#This Row],[MARK ID]],Input!$H$21:$H$146,0)))</calculatedColumnFormula>
    </tableColumn>
    <tableColumn id="10" xr3:uid="{00000000-0010-0000-0400-00000A000000}" name="NORTHING" dataDxfId="4">
      <calculatedColumnFormula>IF(Input!$B$12="2D","",INDEX(Input!$J$21:$J$146,MATCH(Table4[[#This Row],[MARK ID]],Input!$H$21:$H$146,0)))</calculatedColumnFormula>
    </tableColumn>
    <tableColumn id="11" xr3:uid="{00000000-0010-0000-0400-00000B000000}" name="HEIGHT" dataDxfId="3">
      <calculatedColumnFormula>IFERROR(IF(Table4[[#This Row],[JOB NAME]]="A9MR",INDEX(Table9[R.L.],MATCH(Table4[[#This Row],[MARK ID]],Table9[Point],0)),INDEX(Table96[R.L.],MATCH(Table4[[#This Row],[MARK ID]],Table96[Point],0))),"")</calculatedColumnFormula>
    </tableColumn>
    <tableColumn id="12" xr3:uid="{00000000-0010-0000-0400-00000C000000}" name="DISTANCE" dataDxfId="2">
      <calculatedColumnFormula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calculatedColumnFormula>
    </tableColumn>
    <tableColumn id="13" xr3:uid="{00000000-0010-0000-0400-00000D000000}" name="COMMENT" dataDxfId="1">
      <calculatedColumnFormula>IF(Input!$B$8=0,"",Input!$B$8)</calculatedColumnFormula>
    </tableColumn>
    <tableColumn id="14" xr3:uid="{00000000-0010-0000-0400-00000E000000}" name="GRAPH POI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0"/>
  </sheetPr>
  <dimension ref="A1:T534"/>
  <sheetViews>
    <sheetView tabSelected="1" workbookViewId="0">
      <selection activeCell="A5" sqref="A5"/>
    </sheetView>
  </sheetViews>
  <sheetFormatPr defaultColWidth="9.140625" defaultRowHeight="12.75" x14ac:dyDescent="0.2"/>
  <cols>
    <col min="1" max="1" width="18.28515625" style="2" customWidth="1"/>
    <col min="2" max="2" width="24.28515625" style="4" customWidth="1"/>
    <col min="3" max="3" width="9.42578125" style="4" bestFit="1" customWidth="1"/>
    <col min="4" max="4" width="13.28515625" style="4" bestFit="1" customWidth="1"/>
    <col min="5" max="5" width="9.28515625" style="4" bestFit="1" customWidth="1"/>
    <col min="6" max="6" width="9.140625" style="2"/>
    <col min="7" max="7" width="15.85546875" style="2" customWidth="1"/>
    <col min="8" max="8" width="13" style="4" customWidth="1"/>
    <col min="9" max="9" width="11.5703125" style="4" customWidth="1"/>
    <col min="10" max="10" width="14" style="4" customWidth="1"/>
    <col min="11" max="11" width="16" style="2" bestFit="1" customWidth="1"/>
    <col min="12" max="12" width="13" style="2" customWidth="1"/>
    <col min="13" max="13" width="21.42578125" style="2" customWidth="1"/>
    <col min="14" max="14" width="24.7109375" style="2" customWidth="1"/>
    <col min="15" max="15" width="17.5703125" style="2" customWidth="1"/>
    <col min="16" max="16" width="9.140625" style="2"/>
    <col min="17" max="17" width="14.140625" style="2" customWidth="1"/>
    <col min="18" max="18" width="9.140625" style="2"/>
    <col min="19" max="20" width="14.42578125" style="2" bestFit="1" customWidth="1"/>
    <col min="21" max="16384" width="9.140625" style="2"/>
  </cols>
  <sheetData>
    <row r="1" spans="1:10" x14ac:dyDescent="0.2">
      <c r="A1" s="2">
        <v>1</v>
      </c>
      <c r="B1" s="2">
        <v>2</v>
      </c>
      <c r="C1" s="2">
        <v>3</v>
      </c>
      <c r="D1" s="2">
        <v>4</v>
      </c>
      <c r="E1" s="2">
        <v>5</v>
      </c>
      <c r="G1" s="2">
        <v>7</v>
      </c>
      <c r="H1" s="2">
        <v>8</v>
      </c>
      <c r="I1" s="2">
        <v>9</v>
      </c>
      <c r="J1" s="2">
        <v>10</v>
      </c>
    </row>
    <row r="2" spans="1:10" x14ac:dyDescent="0.2">
      <c r="A2" s="210" t="s">
        <v>61</v>
      </c>
      <c r="B2" s="210"/>
      <c r="C2" s="210"/>
      <c r="D2" s="210"/>
      <c r="E2" s="210"/>
      <c r="F2" s="210"/>
      <c r="G2" s="210"/>
      <c r="H2" s="210"/>
      <c r="I2" s="210"/>
      <c r="J2" s="210"/>
    </row>
    <row r="3" spans="1:10" ht="32.25" customHeight="1" thickBot="1" x14ac:dyDescent="0.25">
      <c r="A3" s="211"/>
      <c r="B3" s="211"/>
      <c r="C3" s="211"/>
      <c r="D3" s="211"/>
      <c r="E3" s="211"/>
      <c r="F3" s="211"/>
      <c r="G3" s="211"/>
      <c r="H3" s="211"/>
      <c r="I3" s="211"/>
      <c r="J3" s="211"/>
    </row>
    <row r="4" spans="1:10" x14ac:dyDescent="0.2">
      <c r="B4" s="2"/>
      <c r="C4" s="2"/>
      <c r="D4" s="2"/>
      <c r="E4" s="2"/>
      <c r="H4" s="2"/>
      <c r="I4" s="2"/>
      <c r="J4" s="2"/>
    </row>
    <row r="5" spans="1:10" x14ac:dyDescent="0.2">
      <c r="A5" s="3" t="s">
        <v>30</v>
      </c>
      <c r="B5" s="35">
        <v>43900</v>
      </c>
      <c r="C5" s="2"/>
      <c r="D5" s="2"/>
      <c r="E5" s="2"/>
      <c r="H5" s="2"/>
      <c r="I5" s="2"/>
      <c r="J5" s="2"/>
    </row>
    <row r="6" spans="1:10" x14ac:dyDescent="0.2">
      <c r="A6" s="3" t="s">
        <v>31</v>
      </c>
      <c r="B6" s="35">
        <v>43901</v>
      </c>
      <c r="D6" s="2"/>
      <c r="E6" s="2"/>
      <c r="H6" s="2"/>
      <c r="I6" s="2"/>
      <c r="J6" s="2"/>
    </row>
    <row r="7" spans="1:10" x14ac:dyDescent="0.2">
      <c r="A7" s="3" t="s">
        <v>32</v>
      </c>
      <c r="B7" s="36">
        <v>25</v>
      </c>
      <c r="D7" s="2"/>
      <c r="E7" s="2"/>
      <c r="H7" s="2"/>
      <c r="I7" s="2"/>
      <c r="J7" s="2"/>
    </row>
    <row r="8" spans="1:10" x14ac:dyDescent="0.2">
      <c r="A8" s="3" t="s">
        <v>33</v>
      </c>
      <c r="B8" s="39"/>
      <c r="D8" s="2"/>
      <c r="E8" s="2"/>
      <c r="H8" s="2"/>
      <c r="I8" s="2"/>
      <c r="J8" s="2"/>
    </row>
    <row r="9" spans="1:10" x14ac:dyDescent="0.2">
      <c r="A9" s="3" t="s">
        <v>34</v>
      </c>
      <c r="B9" s="38" t="s">
        <v>462</v>
      </c>
      <c r="D9" s="2"/>
      <c r="E9" s="2"/>
      <c r="H9" s="2"/>
      <c r="I9" s="2"/>
      <c r="J9" s="2"/>
    </row>
    <row r="10" spans="1:10" x14ac:dyDescent="0.2">
      <c r="A10" s="3" t="s">
        <v>35</v>
      </c>
      <c r="B10" s="134">
        <v>1422</v>
      </c>
      <c r="D10" s="2"/>
      <c r="E10" s="2"/>
      <c r="H10" s="2"/>
      <c r="I10" s="2"/>
      <c r="J10" s="2"/>
    </row>
    <row r="11" spans="1:10" x14ac:dyDescent="0.2">
      <c r="A11" s="3" t="s">
        <v>36</v>
      </c>
      <c r="B11" s="37" t="s">
        <v>769</v>
      </c>
      <c r="D11" s="2"/>
      <c r="E11" s="2"/>
      <c r="G11" s="2" t="s">
        <v>762</v>
      </c>
      <c r="H11" s="2"/>
      <c r="I11" s="2"/>
      <c r="J11" s="2"/>
    </row>
    <row r="12" spans="1:10" ht="15" x14ac:dyDescent="0.2">
      <c r="A12" s="1" t="s">
        <v>57</v>
      </c>
      <c r="B12" s="32" t="s">
        <v>59</v>
      </c>
      <c r="D12" s="2"/>
      <c r="E12" s="2"/>
      <c r="G12" s="2">
        <v>137.076266528926</v>
      </c>
      <c r="H12" s="2"/>
      <c r="I12" s="2"/>
      <c r="J12" s="2"/>
    </row>
    <row r="13" spans="1:10" x14ac:dyDescent="0.2">
      <c r="B13" s="2"/>
      <c r="C13" s="2"/>
      <c r="D13" s="2"/>
      <c r="E13" s="2"/>
      <c r="G13" s="2" t="s">
        <v>763</v>
      </c>
      <c r="H13" s="2"/>
      <c r="I13" s="2"/>
      <c r="J13" s="2"/>
    </row>
    <row r="14" spans="1:10" x14ac:dyDescent="0.2">
      <c r="B14" s="212" t="s">
        <v>60</v>
      </c>
      <c r="C14" s="212"/>
      <c r="D14" s="2"/>
      <c r="E14" s="2"/>
      <c r="G14" s="2">
        <v>137.06626652892601</v>
      </c>
      <c r="H14" s="2"/>
      <c r="I14" s="2"/>
      <c r="J14" s="2"/>
    </row>
    <row r="15" spans="1:10" x14ac:dyDescent="0.2">
      <c r="B15" s="23" t="s">
        <v>62</v>
      </c>
      <c r="C15" s="133">
        <v>119.87468801652902</v>
      </c>
      <c r="D15" s="2" t="s">
        <v>772</v>
      </c>
      <c r="E15" s="2"/>
      <c r="H15" s="2"/>
      <c r="I15" s="2"/>
      <c r="J15" s="2"/>
    </row>
    <row r="16" spans="1:10" x14ac:dyDescent="0.2">
      <c r="B16" s="23" t="s">
        <v>692</v>
      </c>
      <c r="C16" s="48">
        <v>137.06626652892601</v>
      </c>
      <c r="D16" s="2"/>
      <c r="E16" s="2"/>
      <c r="H16" s="2"/>
      <c r="I16" s="2"/>
      <c r="J16" s="2"/>
    </row>
    <row r="17" spans="1:15" x14ac:dyDescent="0.2">
      <c r="B17" s="2"/>
      <c r="C17" s="2"/>
      <c r="D17" s="2"/>
      <c r="E17" s="2"/>
      <c r="H17" s="2"/>
      <c r="I17" s="2"/>
      <c r="J17" s="2"/>
    </row>
    <row r="18" spans="1:15" ht="19.5" customHeight="1" thickBot="1" x14ac:dyDescent="0.25">
      <c r="B18" s="209" t="s">
        <v>37</v>
      </c>
      <c r="C18" s="209"/>
      <c r="D18" s="209"/>
      <c r="E18" s="209"/>
      <c r="H18" s="209" t="s">
        <v>63</v>
      </c>
      <c r="I18" s="209"/>
      <c r="J18" s="209"/>
      <c r="L18" s="209" t="s">
        <v>468</v>
      </c>
      <c r="M18" s="209"/>
      <c r="N18" s="209"/>
      <c r="O18" s="57"/>
    </row>
    <row r="19" spans="1:15" x14ac:dyDescent="0.2">
      <c r="B19" s="2"/>
      <c r="C19" s="2"/>
      <c r="D19" s="2"/>
      <c r="E19" s="2"/>
      <c r="H19" s="2"/>
      <c r="I19" s="2"/>
      <c r="J19" s="2"/>
      <c r="N19" s="57"/>
      <c r="O19" s="57"/>
    </row>
    <row r="20" spans="1:15" x14ac:dyDescent="0.2">
      <c r="A20" s="2" t="s">
        <v>42</v>
      </c>
      <c r="B20" s="5" t="s">
        <v>7</v>
      </c>
      <c r="C20" s="5" t="s">
        <v>39</v>
      </c>
      <c r="D20" s="5" t="s">
        <v>40</v>
      </c>
      <c r="E20" s="5" t="s">
        <v>41</v>
      </c>
      <c r="H20" s="8" t="s">
        <v>38</v>
      </c>
      <c r="I20" s="8" t="s">
        <v>8</v>
      </c>
      <c r="J20" s="8" t="s">
        <v>9</v>
      </c>
      <c r="L20" s="74" t="s">
        <v>365</v>
      </c>
      <c r="M20" s="74" t="s">
        <v>366</v>
      </c>
      <c r="N20" s="75" t="s">
        <v>367</v>
      </c>
      <c r="O20" s="57"/>
    </row>
    <row r="21" spans="1:15" ht="15" x14ac:dyDescent="0.2">
      <c r="A21" s="186"/>
      <c r="B21" s="187" t="s">
        <v>591</v>
      </c>
      <c r="C21" s="186"/>
      <c r="D21" s="186"/>
      <c r="E21" s="186"/>
      <c r="H21" s="25" t="s">
        <v>364</v>
      </c>
      <c r="I21" s="26">
        <v>286535.59570000001</v>
      </c>
      <c r="J21" s="26">
        <v>6215734.0083999997</v>
      </c>
      <c r="L21" s="76" t="s">
        <v>389</v>
      </c>
      <c r="M21" s="77">
        <v>119.86525619834715</v>
      </c>
      <c r="N21" s="2" t="s">
        <v>461</v>
      </c>
    </row>
    <row r="22" spans="1:15" x14ac:dyDescent="0.2">
      <c r="A22" s="186" t="s">
        <v>765</v>
      </c>
      <c r="B22" s="188">
        <v>15</v>
      </c>
      <c r="C22" s="189"/>
      <c r="D22" s="189"/>
      <c r="E22" s="189"/>
      <c r="H22" s="25" t="s">
        <v>770</v>
      </c>
      <c r="I22" s="26">
        <v>286672.19760000001</v>
      </c>
      <c r="J22" s="26">
        <v>6215695.8827</v>
      </c>
      <c r="L22" s="2" t="s">
        <v>692</v>
      </c>
      <c r="M22" s="52">
        <v>137.07599999999999</v>
      </c>
      <c r="N22" s="2" t="s">
        <v>708</v>
      </c>
    </row>
    <row r="23" spans="1:15" x14ac:dyDescent="0.2">
      <c r="A23" s="186" t="s">
        <v>592</v>
      </c>
      <c r="B23" s="188" t="s">
        <v>587</v>
      </c>
      <c r="C23" s="189">
        <v>5008.4560000000001</v>
      </c>
      <c r="D23" s="189">
        <v>9889.5220000000008</v>
      </c>
      <c r="E23" s="189">
        <v>203.012</v>
      </c>
      <c r="H23" s="25" t="s">
        <v>363</v>
      </c>
      <c r="I23" s="26">
        <v>287292.52990000002</v>
      </c>
      <c r="J23" s="26">
        <v>6215993.2747999998</v>
      </c>
      <c r="M23" s="52"/>
    </row>
    <row r="24" spans="1:15" x14ac:dyDescent="0.2">
      <c r="A24" s="186" t="s">
        <v>593</v>
      </c>
      <c r="B24" s="188" t="s">
        <v>587</v>
      </c>
      <c r="C24" s="189">
        <v>5008.4589999999998</v>
      </c>
      <c r="D24" s="189">
        <v>9889.5220000000008</v>
      </c>
      <c r="E24" s="189">
        <v>203.02099999999999</v>
      </c>
      <c r="H24" s="25" t="s">
        <v>361</v>
      </c>
      <c r="I24" s="26">
        <v>287932.58970000001</v>
      </c>
      <c r="J24" s="26">
        <v>6216184.2494999999</v>
      </c>
      <c r="M24" s="57"/>
    </row>
    <row r="25" spans="1:15" x14ac:dyDescent="0.2">
      <c r="A25" s="186" t="s">
        <v>594</v>
      </c>
      <c r="B25" s="188" t="s">
        <v>587</v>
      </c>
      <c r="C25" s="189">
        <v>5008.4570000000003</v>
      </c>
      <c r="D25" s="189">
        <v>9889.5220000000008</v>
      </c>
      <c r="E25" s="189">
        <v>203.02199999999999</v>
      </c>
      <c r="H25" s="25" t="s">
        <v>448</v>
      </c>
      <c r="I25" s="26">
        <v>288028.22840000002</v>
      </c>
      <c r="J25" s="26">
        <v>6216223.2235000003</v>
      </c>
      <c r="M25" s="57"/>
    </row>
    <row r="26" spans="1:15" ht="19.5" customHeight="1" thickBot="1" x14ac:dyDescent="0.25">
      <c r="A26" s="186" t="s">
        <v>595</v>
      </c>
      <c r="B26" s="188" t="s">
        <v>587</v>
      </c>
      <c r="C26" s="189">
        <v>5008.4560000000001</v>
      </c>
      <c r="D26" s="189">
        <v>9889.5220000000008</v>
      </c>
      <c r="E26" s="189">
        <v>203.01300000000001</v>
      </c>
      <c r="H26" s="25" t="s">
        <v>548</v>
      </c>
      <c r="I26" s="26">
        <v>288302.21669999999</v>
      </c>
      <c r="J26" s="26">
        <v>6216337.1860999996</v>
      </c>
      <c r="L26" s="209" t="s">
        <v>712</v>
      </c>
      <c r="M26" s="209"/>
      <c r="N26" s="209"/>
      <c r="O26" s="57"/>
    </row>
    <row r="27" spans="1:15" x14ac:dyDescent="0.2">
      <c r="A27" s="186" t="s">
        <v>596</v>
      </c>
      <c r="B27" s="188" t="s">
        <v>597</v>
      </c>
      <c r="C27" s="189">
        <v>5011.21</v>
      </c>
      <c r="D27" s="189">
        <v>9912.4959999999992</v>
      </c>
      <c r="E27" s="189">
        <v>202.232</v>
      </c>
      <c r="H27" s="25" t="s">
        <v>64</v>
      </c>
      <c r="I27" s="26">
        <v>286427.61349999998</v>
      </c>
      <c r="J27" s="26">
        <v>6215707.0017999997</v>
      </c>
      <c r="N27" s="57"/>
      <c r="O27" s="57"/>
    </row>
    <row r="28" spans="1:15" x14ac:dyDescent="0.2">
      <c r="A28" s="186" t="s">
        <v>598</v>
      </c>
      <c r="B28" s="188" t="s">
        <v>597</v>
      </c>
      <c r="C28" s="189">
        <v>5011.2089999999998</v>
      </c>
      <c r="D28" s="189">
        <v>9912.4959999999992</v>
      </c>
      <c r="E28" s="189">
        <v>202.239</v>
      </c>
      <c r="H28" s="25" t="s">
        <v>65</v>
      </c>
      <c r="I28" s="26">
        <v>286444.1225</v>
      </c>
      <c r="J28" s="26">
        <v>6215715.7747999998</v>
      </c>
      <c r="L28" s="74" t="s">
        <v>368</v>
      </c>
      <c r="M28" s="74" t="s">
        <v>366</v>
      </c>
      <c r="N28" s="75" t="s">
        <v>367</v>
      </c>
    </row>
    <row r="29" spans="1:15" x14ac:dyDescent="0.2">
      <c r="A29" s="186" t="s">
        <v>599</v>
      </c>
      <c r="B29" s="188" t="s">
        <v>600</v>
      </c>
      <c r="C29" s="189">
        <v>5013.79</v>
      </c>
      <c r="D29" s="189">
        <v>9935.5020000000004</v>
      </c>
      <c r="E29" s="189">
        <v>201.059</v>
      </c>
      <c r="H29" s="25" t="s">
        <v>66</v>
      </c>
      <c r="I29" s="26">
        <v>286463.18709999998</v>
      </c>
      <c r="J29" s="26">
        <v>6215723.2017999999</v>
      </c>
      <c r="L29" s="78" t="s">
        <v>364</v>
      </c>
      <c r="M29" s="106">
        <v>116.998</v>
      </c>
      <c r="N29" s="10"/>
    </row>
    <row r="30" spans="1:15" x14ac:dyDescent="0.2">
      <c r="A30" s="186" t="s">
        <v>601</v>
      </c>
      <c r="B30" s="188" t="s">
        <v>600</v>
      </c>
      <c r="C30" s="189">
        <v>5013.7910000000002</v>
      </c>
      <c r="D30" s="189">
        <v>9935.5020000000004</v>
      </c>
      <c r="E30" s="189">
        <v>201.053</v>
      </c>
      <c r="H30" s="25" t="s">
        <v>67</v>
      </c>
      <c r="I30" s="26">
        <v>286482.01169999997</v>
      </c>
      <c r="J30" s="26">
        <v>6215729.7324999999</v>
      </c>
      <c r="L30" s="79" t="s">
        <v>363</v>
      </c>
      <c r="M30" s="106">
        <v>131.11699999999999</v>
      </c>
      <c r="N30" s="10"/>
    </row>
    <row r="31" spans="1:15" x14ac:dyDescent="0.2">
      <c r="A31" s="186" t="s">
        <v>602</v>
      </c>
      <c r="B31" s="188" t="s">
        <v>603</v>
      </c>
      <c r="C31" s="189">
        <v>5015.6469999999999</v>
      </c>
      <c r="D31" s="189">
        <v>9954.125</v>
      </c>
      <c r="E31" s="189">
        <v>200.22399999999999</v>
      </c>
      <c r="H31" s="25" t="s">
        <v>68</v>
      </c>
      <c r="I31" s="26">
        <v>286499.6532</v>
      </c>
      <c r="J31" s="26">
        <v>6215734.0877</v>
      </c>
      <c r="L31" s="79" t="s">
        <v>362</v>
      </c>
      <c r="M31" s="106"/>
      <c r="N31" s="10"/>
    </row>
    <row r="32" spans="1:15" x14ac:dyDescent="0.2">
      <c r="A32" s="186" t="s">
        <v>604</v>
      </c>
      <c r="B32" s="188" t="s">
        <v>603</v>
      </c>
      <c r="C32" s="189">
        <v>5015.6469999999999</v>
      </c>
      <c r="D32" s="189">
        <v>9954.125</v>
      </c>
      <c r="E32" s="189">
        <v>200.227</v>
      </c>
      <c r="H32" s="25" t="s">
        <v>69</v>
      </c>
      <c r="I32" s="26">
        <v>286519.27370000002</v>
      </c>
      <c r="J32" s="26">
        <v>6215738.2542000003</v>
      </c>
      <c r="L32" s="79" t="s">
        <v>361</v>
      </c>
      <c r="M32" s="106">
        <v>177.52500000000001</v>
      </c>
      <c r="N32" s="10"/>
    </row>
    <row r="33" spans="1:20" x14ac:dyDescent="0.2">
      <c r="A33" s="186" t="s">
        <v>605</v>
      </c>
      <c r="B33" s="188" t="s">
        <v>606</v>
      </c>
      <c r="C33" s="189">
        <v>5017.8950000000004</v>
      </c>
      <c r="D33" s="189">
        <v>9972.5630000000001</v>
      </c>
      <c r="E33" s="189">
        <v>199.666</v>
      </c>
      <c r="H33" s="25" t="s">
        <v>70</v>
      </c>
      <c r="I33" s="26">
        <v>286539.09769999998</v>
      </c>
      <c r="J33" s="26">
        <v>6215742.6628999999</v>
      </c>
      <c r="L33" s="79" t="s">
        <v>448</v>
      </c>
      <c r="M33" s="106">
        <v>186.32499999999999</v>
      </c>
      <c r="N33" s="80"/>
      <c r="O33" s="7"/>
    </row>
    <row r="34" spans="1:20" x14ac:dyDescent="0.2">
      <c r="A34" s="186" t="s">
        <v>607</v>
      </c>
      <c r="B34" s="188" t="s">
        <v>606</v>
      </c>
      <c r="C34" s="189">
        <v>5017.8950000000004</v>
      </c>
      <c r="D34" s="189">
        <v>9972.5630000000001</v>
      </c>
      <c r="E34" s="189">
        <v>199.66399999999999</v>
      </c>
      <c r="H34" s="25" t="s">
        <v>71</v>
      </c>
      <c r="I34" s="26">
        <v>286559.88579999999</v>
      </c>
      <c r="J34" s="26">
        <v>6215746.5471000001</v>
      </c>
      <c r="L34" s="79" t="s">
        <v>548</v>
      </c>
      <c r="M34" s="106"/>
      <c r="N34" s="80"/>
      <c r="O34" s="7"/>
    </row>
    <row r="35" spans="1:20" x14ac:dyDescent="0.2">
      <c r="A35" s="186" t="s">
        <v>608</v>
      </c>
      <c r="B35" s="188" t="s">
        <v>609</v>
      </c>
      <c r="C35" s="189">
        <v>5020.1499999999996</v>
      </c>
      <c r="D35" s="189">
        <v>9993.92</v>
      </c>
      <c r="E35" s="189">
        <v>198.75200000000001</v>
      </c>
      <c r="H35" s="25" t="s">
        <v>72</v>
      </c>
      <c r="I35" s="26">
        <v>286579.67830000003</v>
      </c>
      <c r="J35" s="26">
        <v>6215748.8229999999</v>
      </c>
      <c r="L35" s="79" t="s">
        <v>711</v>
      </c>
      <c r="M35" s="106">
        <v>154.13200000000001</v>
      </c>
      <c r="N35" s="80"/>
      <c r="O35" s="7"/>
    </row>
    <row r="36" spans="1:20" x14ac:dyDescent="0.2">
      <c r="A36" s="186" t="s">
        <v>610</v>
      </c>
      <c r="B36" s="188" t="s">
        <v>609</v>
      </c>
      <c r="C36" s="189">
        <v>5020.1499999999996</v>
      </c>
      <c r="D36" s="189">
        <v>9993.92</v>
      </c>
      <c r="E36" s="189">
        <v>198.75299999999999</v>
      </c>
      <c r="H36" s="25" t="s">
        <v>73</v>
      </c>
      <c r="I36" s="26">
        <v>286599.20140000002</v>
      </c>
      <c r="J36" s="26">
        <v>6215750.9566000002</v>
      </c>
      <c r="L36" s="79" t="s">
        <v>710</v>
      </c>
      <c r="M36" s="106"/>
      <c r="N36" s="80"/>
      <c r="O36" s="7"/>
    </row>
    <row r="37" spans="1:20" ht="19.5" customHeight="1" x14ac:dyDescent="0.2">
      <c r="A37" s="186" t="s">
        <v>611</v>
      </c>
      <c r="B37" s="188" t="s">
        <v>612</v>
      </c>
      <c r="C37" s="189">
        <v>5022.2830000000004</v>
      </c>
      <c r="D37" s="189">
        <v>10012.33</v>
      </c>
      <c r="E37" s="189">
        <v>197.905</v>
      </c>
      <c r="H37" s="25" t="s">
        <v>74</v>
      </c>
      <c r="I37" s="26">
        <v>286619.59779999999</v>
      </c>
      <c r="J37" s="26">
        <v>6215753.0970000001</v>
      </c>
      <c r="O37" s="7"/>
    </row>
    <row r="38" spans="1:20" x14ac:dyDescent="0.2">
      <c r="A38" s="186" t="s">
        <v>613</v>
      </c>
      <c r="B38" s="188" t="s">
        <v>612</v>
      </c>
      <c r="C38" s="189">
        <v>5022.2830000000004</v>
      </c>
      <c r="D38" s="189">
        <v>10012.33</v>
      </c>
      <c r="E38" s="189">
        <v>197.90299999999999</v>
      </c>
      <c r="H38" s="25" t="s">
        <v>75</v>
      </c>
      <c r="I38" s="26">
        <v>286640.13939999999</v>
      </c>
      <c r="J38" s="26">
        <v>6215755.5733000003</v>
      </c>
    </row>
    <row r="39" spans="1:20" ht="19.5" thickBot="1" x14ac:dyDescent="0.25">
      <c r="A39" s="186" t="s">
        <v>614</v>
      </c>
      <c r="B39" s="188" t="s">
        <v>615</v>
      </c>
      <c r="C39" s="189">
        <v>5024.1610000000001</v>
      </c>
      <c r="D39" s="189">
        <v>10030.391</v>
      </c>
      <c r="E39" s="189">
        <v>197.19300000000001</v>
      </c>
      <c r="H39" s="25" t="s">
        <v>463</v>
      </c>
      <c r="I39" s="26">
        <v>286738.61170000001</v>
      </c>
      <c r="J39" s="26">
        <v>6215762.2755000005</v>
      </c>
      <c r="L39" s="209" t="s">
        <v>369</v>
      </c>
      <c r="M39" s="209"/>
      <c r="N39" s="209"/>
      <c r="S39" s="135"/>
      <c r="T39" s="135"/>
    </row>
    <row r="40" spans="1:20" x14ac:dyDescent="0.2">
      <c r="A40" s="186" t="s">
        <v>616</v>
      </c>
      <c r="B40" s="188" t="s">
        <v>615</v>
      </c>
      <c r="C40" s="189">
        <v>5024.16</v>
      </c>
      <c r="D40" s="189">
        <v>10030.391</v>
      </c>
      <c r="E40" s="189">
        <v>197.196</v>
      </c>
      <c r="H40" s="25" t="s">
        <v>76</v>
      </c>
      <c r="I40" s="26">
        <v>286658.7316</v>
      </c>
      <c r="J40" s="26">
        <v>6215758.3694000002</v>
      </c>
      <c r="N40" s="57"/>
    </row>
    <row r="41" spans="1:20" x14ac:dyDescent="0.2">
      <c r="A41" s="186" t="s">
        <v>617</v>
      </c>
      <c r="B41" s="188" t="s">
        <v>618</v>
      </c>
      <c r="C41" s="189">
        <v>5026.5739999999996</v>
      </c>
      <c r="D41" s="189">
        <v>10051.453</v>
      </c>
      <c r="E41" s="189">
        <v>196.60900000000001</v>
      </c>
      <c r="H41" s="25" t="s">
        <v>77</v>
      </c>
      <c r="I41" s="26">
        <v>286680.00219999999</v>
      </c>
      <c r="J41" s="26">
        <v>6215760.2199999997</v>
      </c>
      <c r="L41" s="74" t="s">
        <v>368</v>
      </c>
      <c r="M41" s="74" t="s">
        <v>370</v>
      </c>
      <c r="N41" s="75" t="s">
        <v>367</v>
      </c>
      <c r="S41" s="135"/>
      <c r="T41" s="135"/>
    </row>
    <row r="42" spans="1:20" x14ac:dyDescent="0.2">
      <c r="A42" s="186" t="s">
        <v>619</v>
      </c>
      <c r="B42" s="188" t="s">
        <v>618</v>
      </c>
      <c r="C42" s="189">
        <v>5026.5739999999996</v>
      </c>
      <c r="D42" s="189">
        <v>10051.453</v>
      </c>
      <c r="E42" s="189">
        <v>196.60400000000001</v>
      </c>
      <c r="H42" s="25" t="s">
        <v>78</v>
      </c>
      <c r="I42" s="26">
        <v>286697.64520000003</v>
      </c>
      <c r="J42" s="26">
        <v>6215762.7895999998</v>
      </c>
      <c r="L42" s="78" t="s">
        <v>364</v>
      </c>
      <c r="M42" s="106">
        <v>1.3440000000000001</v>
      </c>
      <c r="N42" s="10"/>
      <c r="T42" s="135"/>
    </row>
    <row r="43" spans="1:20" x14ac:dyDescent="0.2">
      <c r="A43" s="186" t="s">
        <v>620</v>
      </c>
      <c r="B43" s="188" t="s">
        <v>621</v>
      </c>
      <c r="C43" s="189">
        <v>5028.7969999999996</v>
      </c>
      <c r="D43" s="189">
        <v>10069.218999999999</v>
      </c>
      <c r="E43" s="189">
        <v>196.11500000000001</v>
      </c>
      <c r="H43" s="25" t="s">
        <v>79</v>
      </c>
      <c r="I43" s="26">
        <v>286718.69880000001</v>
      </c>
      <c r="J43" s="26">
        <v>6215766.1503999997</v>
      </c>
      <c r="L43" s="79" t="s">
        <v>363</v>
      </c>
      <c r="M43" s="106">
        <v>1.294</v>
      </c>
      <c r="N43" s="10"/>
      <c r="O43" s="7"/>
    </row>
    <row r="44" spans="1:20" x14ac:dyDescent="0.2">
      <c r="A44" s="186" t="s">
        <v>622</v>
      </c>
      <c r="B44" s="186" t="s">
        <v>621</v>
      </c>
      <c r="C44" s="189">
        <v>5028.7960000000003</v>
      </c>
      <c r="D44" s="189">
        <v>10069.218999999999</v>
      </c>
      <c r="E44" s="189">
        <v>196.12299999999999</v>
      </c>
      <c r="H44" s="25" t="s">
        <v>80</v>
      </c>
      <c r="I44" s="26">
        <v>286736.28739999997</v>
      </c>
      <c r="J44" s="26">
        <v>6215770.5663999999</v>
      </c>
      <c r="L44" s="79" t="s">
        <v>362</v>
      </c>
      <c r="M44" s="106"/>
      <c r="N44" s="10"/>
      <c r="O44" s="7"/>
    </row>
    <row r="45" spans="1:20" x14ac:dyDescent="0.2">
      <c r="A45" s="186" t="s">
        <v>623</v>
      </c>
      <c r="B45" s="186" t="s">
        <v>621</v>
      </c>
      <c r="C45" s="189">
        <v>5028.7960000000003</v>
      </c>
      <c r="D45" s="189">
        <v>10069.218999999999</v>
      </c>
      <c r="E45" s="189">
        <v>196.12200000000001</v>
      </c>
      <c r="H45" s="25" t="s">
        <v>81</v>
      </c>
      <c r="I45" s="26">
        <v>286755.74930000002</v>
      </c>
      <c r="J45" s="26">
        <v>6215778.4331</v>
      </c>
      <c r="L45" s="79" t="s">
        <v>361</v>
      </c>
      <c r="M45" s="106">
        <v>1.28</v>
      </c>
      <c r="N45" s="10"/>
      <c r="O45" s="7"/>
    </row>
    <row r="46" spans="1:20" x14ac:dyDescent="0.2">
      <c r="A46" s="186" t="s">
        <v>624</v>
      </c>
      <c r="B46" s="186" t="s">
        <v>621</v>
      </c>
      <c r="C46" s="189">
        <v>5028.7969999999996</v>
      </c>
      <c r="D46" s="189">
        <v>10069.218999999999</v>
      </c>
      <c r="E46" s="189">
        <v>196.11500000000001</v>
      </c>
      <c r="H46" s="25" t="s">
        <v>82</v>
      </c>
      <c r="I46" s="26">
        <v>286775.11229999998</v>
      </c>
      <c r="J46" s="26">
        <v>6215786.3524000002</v>
      </c>
      <c r="L46" s="79" t="s">
        <v>448</v>
      </c>
      <c r="M46" s="106">
        <v>1.1839999999999999</v>
      </c>
      <c r="N46" s="80"/>
      <c r="O46" s="7"/>
    </row>
    <row r="47" spans="1:20" ht="15" x14ac:dyDescent="0.25">
      <c r="A47" s="186"/>
      <c r="B47" s="190" t="s">
        <v>625</v>
      </c>
      <c r="C47" s="189"/>
      <c r="D47" s="189"/>
      <c r="E47" s="189"/>
      <c r="H47" s="25" t="s">
        <v>83</v>
      </c>
      <c r="I47" s="50">
        <v>286792.30959999998</v>
      </c>
      <c r="J47" s="50">
        <v>6215793.4403999997</v>
      </c>
      <c r="L47" s="79" t="s">
        <v>548</v>
      </c>
      <c r="M47" s="106">
        <v>1.1950000000000001</v>
      </c>
      <c r="N47" s="80"/>
      <c r="O47" s="7"/>
    </row>
    <row r="48" spans="1:20" ht="14.25" customHeight="1" x14ac:dyDescent="0.2">
      <c r="A48" s="186" t="s">
        <v>766</v>
      </c>
      <c r="B48" s="188">
        <v>16</v>
      </c>
      <c r="C48" s="189"/>
      <c r="D48" s="189"/>
      <c r="E48" s="189"/>
      <c r="H48" s="25" t="s">
        <v>84</v>
      </c>
      <c r="I48" s="50">
        <v>286812.25390000001</v>
      </c>
      <c r="J48" s="50">
        <v>6215801.6246999996</v>
      </c>
      <c r="L48" s="79" t="s">
        <v>711</v>
      </c>
      <c r="M48" s="106"/>
      <c r="N48" s="80"/>
    </row>
    <row r="49" spans="1:15" x14ac:dyDescent="0.2">
      <c r="A49" s="186" t="s">
        <v>626</v>
      </c>
      <c r="B49" s="188" t="s">
        <v>621</v>
      </c>
      <c r="C49" s="189">
        <v>4990.875</v>
      </c>
      <c r="D49" s="189">
        <v>9902.73</v>
      </c>
      <c r="E49" s="189">
        <v>200.994</v>
      </c>
      <c r="H49" s="25" t="s">
        <v>85</v>
      </c>
      <c r="I49" s="50">
        <v>286829.12270000001</v>
      </c>
      <c r="J49" s="50">
        <v>6215808.3583000004</v>
      </c>
      <c r="L49" s="79" t="s">
        <v>710</v>
      </c>
      <c r="M49" s="106"/>
      <c r="N49" s="80"/>
    </row>
    <row r="50" spans="1:15" x14ac:dyDescent="0.2">
      <c r="A50" s="186" t="s">
        <v>627</v>
      </c>
      <c r="B50" s="188" t="s">
        <v>621</v>
      </c>
      <c r="C50" s="189">
        <v>4990.8770000000004</v>
      </c>
      <c r="D50" s="189">
        <v>9902.7289999999994</v>
      </c>
      <c r="E50" s="189">
        <v>200.999</v>
      </c>
      <c r="H50" s="25" t="s">
        <v>464</v>
      </c>
      <c r="I50" s="50">
        <v>286925.05800000002</v>
      </c>
      <c r="J50" s="50">
        <v>6215841.2652000003</v>
      </c>
    </row>
    <row r="51" spans="1:15" x14ac:dyDescent="0.2">
      <c r="A51" s="186" t="s">
        <v>628</v>
      </c>
      <c r="B51" s="188" t="s">
        <v>621</v>
      </c>
      <c r="C51" s="189">
        <v>4990.8789999999999</v>
      </c>
      <c r="D51" s="189">
        <v>9902.7289999999994</v>
      </c>
      <c r="E51" s="189">
        <v>201.00200000000001</v>
      </c>
      <c r="H51" s="25" t="s">
        <v>86</v>
      </c>
      <c r="I51" s="50">
        <v>286848.58069999999</v>
      </c>
      <c r="J51" s="50">
        <v>6215816.4741000002</v>
      </c>
    </row>
    <row r="52" spans="1:15" ht="18.75" x14ac:dyDescent="0.2">
      <c r="A52" s="186" t="s">
        <v>629</v>
      </c>
      <c r="B52" s="188" t="s">
        <v>621</v>
      </c>
      <c r="C52" s="189">
        <v>4990.8779999999997</v>
      </c>
      <c r="D52" s="189">
        <v>9902.7289999999994</v>
      </c>
      <c r="E52" s="189">
        <v>200.994</v>
      </c>
      <c r="H52" s="25" t="s">
        <v>87</v>
      </c>
      <c r="I52" s="50">
        <v>286872.59029999998</v>
      </c>
      <c r="J52" s="50">
        <v>6215827.3788999999</v>
      </c>
      <c r="L52" s="208" t="s">
        <v>371</v>
      </c>
      <c r="M52" s="208"/>
      <c r="N52" s="208"/>
      <c r="O52" s="208"/>
    </row>
    <row r="53" spans="1:15" x14ac:dyDescent="0.2">
      <c r="A53" s="186" t="s">
        <v>630</v>
      </c>
      <c r="B53" s="188" t="s">
        <v>631</v>
      </c>
      <c r="C53" s="189">
        <v>4993.3249999999998</v>
      </c>
      <c r="D53" s="189">
        <v>9924.1769999999997</v>
      </c>
      <c r="E53" s="189">
        <v>200.33799999999999</v>
      </c>
      <c r="H53" s="25" t="s">
        <v>88</v>
      </c>
      <c r="I53" s="50">
        <v>286886.47379999998</v>
      </c>
      <c r="J53" s="50">
        <v>6215833.2216999996</v>
      </c>
      <c r="M53" s="57"/>
      <c r="N53" s="57"/>
      <c r="O53" s="7"/>
    </row>
    <row r="54" spans="1:15" ht="13.5" thickBot="1" x14ac:dyDescent="0.25">
      <c r="A54" s="186" t="s">
        <v>632</v>
      </c>
      <c r="B54" s="188" t="s">
        <v>631</v>
      </c>
      <c r="C54" s="189">
        <v>4993.3239999999996</v>
      </c>
      <c r="D54" s="189">
        <v>9924.1769999999997</v>
      </c>
      <c r="E54" s="189">
        <v>200.34299999999999</v>
      </c>
      <c r="H54" s="25" t="s">
        <v>89</v>
      </c>
      <c r="I54" s="50">
        <v>286902.97859999997</v>
      </c>
      <c r="J54" s="50">
        <v>6215839.9206999997</v>
      </c>
      <c r="L54" s="81" t="s">
        <v>372</v>
      </c>
      <c r="M54" s="82" t="s">
        <v>39</v>
      </c>
      <c r="N54" s="83" t="s">
        <v>40</v>
      </c>
      <c r="O54" s="7" t="s">
        <v>41</v>
      </c>
    </row>
    <row r="55" spans="1:15" ht="13.5" thickTop="1" x14ac:dyDescent="0.2">
      <c r="A55" s="186" t="s">
        <v>633</v>
      </c>
      <c r="B55" s="188" t="s">
        <v>634</v>
      </c>
      <c r="C55" s="189">
        <v>4995.518</v>
      </c>
      <c r="D55" s="189">
        <v>9943.2170000000006</v>
      </c>
      <c r="E55" s="189">
        <v>199.661</v>
      </c>
      <c r="H55" s="25" t="s">
        <v>90</v>
      </c>
      <c r="I55" s="50">
        <v>286922.48239999998</v>
      </c>
      <c r="J55" s="50">
        <v>6215847.8202</v>
      </c>
      <c r="L55" s="79" t="s">
        <v>364</v>
      </c>
      <c r="M55" s="106">
        <v>9919.2970000000005</v>
      </c>
      <c r="N55" s="106">
        <v>5122.2150000000001</v>
      </c>
      <c r="O55" s="106">
        <v>200.01300000000001</v>
      </c>
    </row>
    <row r="56" spans="1:15" x14ac:dyDescent="0.2">
      <c r="A56" s="186" t="s">
        <v>635</v>
      </c>
      <c r="B56" s="188" t="s">
        <v>634</v>
      </c>
      <c r="C56" s="189">
        <v>4995.5190000000002</v>
      </c>
      <c r="D56" s="189">
        <v>9943.2170000000006</v>
      </c>
      <c r="E56" s="189">
        <v>199.65700000000001</v>
      </c>
      <c r="H56" s="25" t="s">
        <v>91</v>
      </c>
      <c r="I56" s="50">
        <v>286942.0575</v>
      </c>
      <c r="J56" s="50">
        <v>6215855.7389000002</v>
      </c>
      <c r="L56" s="79" t="s">
        <v>363</v>
      </c>
      <c r="M56" s="106">
        <v>10655.441000000001</v>
      </c>
      <c r="N56" s="106">
        <v>4809.0280000000002</v>
      </c>
      <c r="O56" s="106">
        <v>214.04599999999999</v>
      </c>
    </row>
    <row r="57" spans="1:15" x14ac:dyDescent="0.2">
      <c r="A57" s="186" t="s">
        <v>636</v>
      </c>
      <c r="B57" s="188" t="s">
        <v>637</v>
      </c>
      <c r="C57" s="189">
        <v>4997.7619999999997</v>
      </c>
      <c r="D57" s="189">
        <v>9964.83</v>
      </c>
      <c r="E57" s="189">
        <v>198.96600000000001</v>
      </c>
      <c r="H57" s="25" t="s">
        <v>92</v>
      </c>
      <c r="I57" s="50">
        <v>286958.68079999997</v>
      </c>
      <c r="J57" s="50">
        <v>6215862.4945999999</v>
      </c>
      <c r="L57" s="79" t="s">
        <v>362</v>
      </c>
      <c r="M57" s="106"/>
      <c r="N57" s="106"/>
      <c r="O57" s="106"/>
    </row>
    <row r="58" spans="1:15" ht="13.5" customHeight="1" x14ac:dyDescent="0.2">
      <c r="A58" s="186" t="s">
        <v>638</v>
      </c>
      <c r="B58" s="188" t="s">
        <v>637</v>
      </c>
      <c r="C58" s="189">
        <v>4997.7629999999999</v>
      </c>
      <c r="D58" s="189">
        <v>9964.83</v>
      </c>
      <c r="E58" s="189">
        <v>198.96899999999999</v>
      </c>
      <c r="H58" s="25" t="s">
        <v>93</v>
      </c>
      <c r="I58" s="50">
        <v>286978.2157</v>
      </c>
      <c r="J58" s="50">
        <v>6215870.4100000001</v>
      </c>
      <c r="L58" s="79" t="s">
        <v>361</v>
      </c>
      <c r="M58" s="106">
        <v>11259.041999999999</v>
      </c>
      <c r="N58" s="106">
        <v>4523.2060000000001</v>
      </c>
      <c r="O58" s="106">
        <v>260.411</v>
      </c>
    </row>
    <row r="59" spans="1:15" x14ac:dyDescent="0.2">
      <c r="A59" s="186" t="s">
        <v>639</v>
      </c>
      <c r="B59" s="188" t="s">
        <v>640</v>
      </c>
      <c r="C59" s="189">
        <v>4999.6959999999999</v>
      </c>
      <c r="D59" s="189">
        <v>9982.2189999999991</v>
      </c>
      <c r="E59" s="189">
        <v>198.55600000000001</v>
      </c>
      <c r="H59" s="25" t="s">
        <v>94</v>
      </c>
      <c r="I59" s="50">
        <v>286994.8688</v>
      </c>
      <c r="J59" s="50">
        <v>6215877.0673000002</v>
      </c>
      <c r="L59" s="79" t="s">
        <v>448</v>
      </c>
      <c r="M59" s="106">
        <v>11356.210999999999</v>
      </c>
      <c r="N59" s="106">
        <v>4488.2640000000001</v>
      </c>
      <c r="O59" s="106">
        <v>269.11599999999999</v>
      </c>
    </row>
    <row r="60" spans="1:15" x14ac:dyDescent="0.2">
      <c r="A60" s="186" t="s">
        <v>641</v>
      </c>
      <c r="B60" s="188" t="s">
        <v>640</v>
      </c>
      <c r="C60" s="189">
        <v>4999.6959999999999</v>
      </c>
      <c r="D60" s="189">
        <v>9982.2189999999991</v>
      </c>
      <c r="E60" s="189">
        <v>198.55500000000001</v>
      </c>
      <c r="H60" s="25" t="s">
        <v>95</v>
      </c>
      <c r="I60" s="50">
        <v>287014.65230000002</v>
      </c>
      <c r="J60" s="50">
        <v>6215885.0244000005</v>
      </c>
      <c r="L60" s="79" t="s">
        <v>548</v>
      </c>
      <c r="M60" s="106">
        <v>11636.129000000001</v>
      </c>
      <c r="N60" s="106">
        <v>4389.88</v>
      </c>
      <c r="O60" s="106">
        <v>236.92599999999999</v>
      </c>
    </row>
    <row r="61" spans="1:15" x14ac:dyDescent="0.2">
      <c r="A61" s="186" t="s">
        <v>642</v>
      </c>
      <c r="B61" s="188" t="s">
        <v>643</v>
      </c>
      <c r="C61" s="189">
        <v>5001.9650000000001</v>
      </c>
      <c r="D61" s="189">
        <v>10003.029</v>
      </c>
      <c r="E61" s="189">
        <v>198.06899999999999</v>
      </c>
      <c r="H61" s="25" t="s">
        <v>465</v>
      </c>
      <c r="I61" s="50">
        <v>287109.92060000001</v>
      </c>
      <c r="J61" s="50">
        <v>6215914.5733000003</v>
      </c>
      <c r="L61" s="79" t="s">
        <v>711</v>
      </c>
      <c r="M61" s="106"/>
      <c r="N61" s="106"/>
      <c r="O61" s="106"/>
    </row>
    <row r="62" spans="1:15" x14ac:dyDescent="0.2">
      <c r="A62" s="186" t="s">
        <v>644</v>
      </c>
      <c r="B62" s="188" t="s">
        <v>643</v>
      </c>
      <c r="C62" s="189">
        <v>5001.9650000000001</v>
      </c>
      <c r="D62" s="189">
        <v>10003.029</v>
      </c>
      <c r="E62" s="189">
        <v>198.06800000000001</v>
      </c>
      <c r="H62" s="25" t="s">
        <v>96</v>
      </c>
      <c r="I62" s="50">
        <v>287033.88929999998</v>
      </c>
      <c r="J62" s="50">
        <v>6215892.7911999999</v>
      </c>
      <c r="L62" s="79" t="s">
        <v>710</v>
      </c>
      <c r="M62" s="106"/>
      <c r="N62" s="106"/>
      <c r="O62" s="106"/>
    </row>
    <row r="63" spans="1:15" x14ac:dyDescent="0.2">
      <c r="A63" s="186" t="s">
        <v>645</v>
      </c>
      <c r="B63" s="188" t="s">
        <v>646</v>
      </c>
      <c r="C63" s="189">
        <v>5003.9030000000002</v>
      </c>
      <c r="D63" s="189">
        <v>10023.415000000001</v>
      </c>
      <c r="E63" s="189">
        <v>197.76900000000001</v>
      </c>
      <c r="H63" s="25" t="s">
        <v>97</v>
      </c>
      <c r="I63" s="50">
        <v>287050.5086</v>
      </c>
      <c r="J63" s="50">
        <v>6215899.5185000002</v>
      </c>
    </row>
    <row r="64" spans="1:15" x14ac:dyDescent="0.2">
      <c r="A64" s="186" t="s">
        <v>647</v>
      </c>
      <c r="B64" s="188" t="s">
        <v>646</v>
      </c>
      <c r="C64" s="189">
        <v>5003.9040000000005</v>
      </c>
      <c r="D64" s="189">
        <v>10023.415000000001</v>
      </c>
      <c r="E64" s="189">
        <v>197.767</v>
      </c>
      <c r="H64" s="25" t="s">
        <v>98</v>
      </c>
      <c r="I64" s="50">
        <v>287069.81719999999</v>
      </c>
      <c r="J64" s="50">
        <v>6215907.5738000004</v>
      </c>
    </row>
    <row r="65" spans="1:15" x14ac:dyDescent="0.2">
      <c r="A65" s="186" t="s">
        <v>648</v>
      </c>
      <c r="B65" s="188" t="s">
        <v>649</v>
      </c>
      <c r="C65" s="189">
        <v>5005.848</v>
      </c>
      <c r="D65" s="189">
        <v>10043.736000000001</v>
      </c>
      <c r="E65" s="189">
        <v>197.61199999999999</v>
      </c>
      <c r="H65" s="25" t="s">
        <v>99</v>
      </c>
      <c r="I65" s="50">
        <v>287089.4142</v>
      </c>
      <c r="J65" s="50">
        <v>6215915.0678000003</v>
      </c>
      <c r="M65" s="57"/>
      <c r="N65" s="57"/>
      <c r="O65" s="7"/>
    </row>
    <row r="66" spans="1:15" x14ac:dyDescent="0.2">
      <c r="A66" s="186" t="s">
        <v>650</v>
      </c>
      <c r="B66" s="186" t="s">
        <v>649</v>
      </c>
      <c r="C66" s="189">
        <v>5005.848</v>
      </c>
      <c r="D66" s="189">
        <v>10043.736999999999</v>
      </c>
      <c r="E66" s="189">
        <v>197.61699999999999</v>
      </c>
      <c r="H66" s="25" t="s">
        <v>100</v>
      </c>
      <c r="I66" s="50">
        <v>287105.95899999997</v>
      </c>
      <c r="J66" s="50">
        <v>6215922.6109999996</v>
      </c>
      <c r="M66" s="57"/>
      <c r="N66" s="57"/>
      <c r="O66" s="7"/>
    </row>
    <row r="67" spans="1:15" x14ac:dyDescent="0.2">
      <c r="A67" s="186" t="s">
        <v>651</v>
      </c>
      <c r="B67" s="188" t="s">
        <v>652</v>
      </c>
      <c r="C67" s="189">
        <v>5007.7460000000001</v>
      </c>
      <c r="D67" s="189">
        <v>10063.929</v>
      </c>
      <c r="E67" s="189">
        <v>197.58600000000001</v>
      </c>
      <c r="H67" s="25" t="s">
        <v>101</v>
      </c>
      <c r="I67" s="50">
        <v>287124.89600000001</v>
      </c>
      <c r="J67" s="50">
        <v>6215931.1820999999</v>
      </c>
      <c r="M67" s="57"/>
      <c r="N67" s="57"/>
      <c r="O67" s="7"/>
    </row>
    <row r="68" spans="1:15" x14ac:dyDescent="0.2">
      <c r="A68" s="186" t="s">
        <v>653</v>
      </c>
      <c r="B68" s="188" t="s">
        <v>652</v>
      </c>
      <c r="C68" s="189">
        <v>5007.7470000000003</v>
      </c>
      <c r="D68" s="189">
        <v>10063.929</v>
      </c>
      <c r="E68" s="189">
        <v>197.58199999999999</v>
      </c>
      <c r="H68" s="25" t="s">
        <v>102</v>
      </c>
      <c r="I68" s="50">
        <v>287143.75790000003</v>
      </c>
      <c r="J68" s="50">
        <v>6215939.7774</v>
      </c>
      <c r="M68" s="57"/>
      <c r="N68" s="57"/>
      <c r="O68" s="7"/>
    </row>
    <row r="69" spans="1:15" x14ac:dyDescent="0.2">
      <c r="A69" s="186" t="s">
        <v>654</v>
      </c>
      <c r="B69" s="188" t="s">
        <v>655</v>
      </c>
      <c r="C69" s="189">
        <v>5013.3419999999996</v>
      </c>
      <c r="D69" s="189">
        <v>10083.626</v>
      </c>
      <c r="E69" s="189">
        <v>196.96</v>
      </c>
      <c r="H69" s="25" t="s">
        <v>103</v>
      </c>
      <c r="I69" s="50">
        <v>287160.05239999999</v>
      </c>
      <c r="J69" s="50">
        <v>6215947.2160999998</v>
      </c>
    </row>
    <row r="70" spans="1:15" x14ac:dyDescent="0.2">
      <c r="A70" s="186" t="s">
        <v>656</v>
      </c>
      <c r="B70" s="188" t="s">
        <v>655</v>
      </c>
      <c r="C70" s="189">
        <v>5013.3410000000003</v>
      </c>
      <c r="D70" s="189">
        <v>10083.626</v>
      </c>
      <c r="E70" s="189">
        <v>196.96799999999999</v>
      </c>
      <c r="H70" s="25" t="s">
        <v>104</v>
      </c>
      <c r="I70" s="50">
        <v>287179.04430000001</v>
      </c>
      <c r="J70" s="50">
        <v>6215955.8568000002</v>
      </c>
    </row>
    <row r="71" spans="1:15" x14ac:dyDescent="0.2">
      <c r="A71" s="186" t="s">
        <v>657</v>
      </c>
      <c r="B71" s="188" t="s">
        <v>658</v>
      </c>
      <c r="C71" s="189">
        <v>5006.4250000000002</v>
      </c>
      <c r="D71" s="189">
        <v>10114.072</v>
      </c>
      <c r="E71" s="189">
        <v>197.00399999999999</v>
      </c>
      <c r="H71" s="25" t="s">
        <v>105</v>
      </c>
      <c r="I71" s="50">
        <v>287197.79739999998</v>
      </c>
      <c r="J71" s="50">
        <v>6215964.3949999996</v>
      </c>
    </row>
    <row r="72" spans="1:15" x14ac:dyDescent="0.2">
      <c r="A72" s="186" t="s">
        <v>659</v>
      </c>
      <c r="B72" s="188" t="s">
        <v>658</v>
      </c>
      <c r="C72" s="189">
        <v>5006.4279999999999</v>
      </c>
      <c r="D72" s="189">
        <v>10114.072</v>
      </c>
      <c r="E72" s="189">
        <v>196.99299999999999</v>
      </c>
      <c r="H72" s="25" t="s">
        <v>106</v>
      </c>
      <c r="I72" s="50">
        <v>287216.80379999999</v>
      </c>
      <c r="J72" s="50">
        <v>6215972.5817999998</v>
      </c>
    </row>
    <row r="73" spans="1:15" x14ac:dyDescent="0.2">
      <c r="A73" s="186" t="s">
        <v>660</v>
      </c>
      <c r="B73" s="188" t="s">
        <v>658</v>
      </c>
      <c r="C73" s="189">
        <v>5006.43</v>
      </c>
      <c r="D73" s="189">
        <v>10114.072</v>
      </c>
      <c r="E73" s="189">
        <v>196.99100000000001</v>
      </c>
      <c r="H73" s="25" t="s">
        <v>107</v>
      </c>
      <c r="I73" s="50">
        <v>287233.02510000003</v>
      </c>
      <c r="J73" s="50">
        <v>6215980.3775000004</v>
      </c>
    </row>
    <row r="74" spans="1:15" x14ac:dyDescent="0.2">
      <c r="A74" s="186" t="s">
        <v>661</v>
      </c>
      <c r="B74" s="188" t="s">
        <v>658</v>
      </c>
      <c r="C74" s="189">
        <v>5006.4250000000002</v>
      </c>
      <c r="D74" s="189">
        <v>10114.072</v>
      </c>
      <c r="E74" s="189">
        <v>197.006</v>
      </c>
      <c r="H74" s="25" t="s">
        <v>108</v>
      </c>
      <c r="I74" s="50">
        <v>287251.84019999998</v>
      </c>
      <c r="J74" s="50">
        <v>6215988.9183</v>
      </c>
    </row>
    <row r="75" spans="1:15" x14ac:dyDescent="0.2">
      <c r="A75" s="186"/>
      <c r="B75" s="188" t="s">
        <v>662</v>
      </c>
      <c r="C75" s="189"/>
      <c r="D75" s="189"/>
      <c r="E75" s="189"/>
      <c r="H75" s="25" t="s">
        <v>109</v>
      </c>
      <c r="I75" s="50">
        <v>287270.90350000001</v>
      </c>
      <c r="J75" s="50">
        <v>6215997.5732000005</v>
      </c>
    </row>
    <row r="76" spans="1:15" ht="15" x14ac:dyDescent="0.25">
      <c r="A76" s="186" t="s">
        <v>767</v>
      </c>
      <c r="B76" s="190">
        <v>18</v>
      </c>
      <c r="C76" s="189"/>
      <c r="D76" s="189"/>
      <c r="E76" s="189"/>
      <c r="H76" s="25" t="s">
        <v>110</v>
      </c>
      <c r="I76" s="50">
        <v>287287.10440000001</v>
      </c>
      <c r="J76" s="50">
        <v>6216005.0384999998</v>
      </c>
      <c r="M76" s="57"/>
      <c r="N76" s="57"/>
      <c r="O76" s="7"/>
    </row>
    <row r="77" spans="1:15" x14ac:dyDescent="0.2">
      <c r="A77" s="186" t="s">
        <v>663</v>
      </c>
      <c r="B77" s="188" t="s">
        <v>658</v>
      </c>
      <c r="C77" s="189">
        <v>5025.9719999999998</v>
      </c>
      <c r="D77" s="189">
        <v>9894.5360000000001</v>
      </c>
      <c r="E77" s="189">
        <v>199.69300000000001</v>
      </c>
      <c r="H77" s="25" t="s">
        <v>111</v>
      </c>
      <c r="I77" s="50">
        <v>287306.11050000001</v>
      </c>
      <c r="J77" s="50">
        <v>6216013.7172999997</v>
      </c>
      <c r="M77" s="57"/>
      <c r="N77" s="57"/>
      <c r="O77" s="7"/>
    </row>
    <row r="78" spans="1:15" x14ac:dyDescent="0.2">
      <c r="A78" s="186" t="s">
        <v>664</v>
      </c>
      <c r="B78" s="188" t="s">
        <v>658</v>
      </c>
      <c r="C78" s="189">
        <v>5025.9719999999998</v>
      </c>
      <c r="D78" s="189">
        <v>9894.5360000000001</v>
      </c>
      <c r="E78" s="189">
        <v>199.70500000000001</v>
      </c>
      <c r="H78" s="25" t="s">
        <v>112</v>
      </c>
      <c r="I78" s="50">
        <v>287325.13030000002</v>
      </c>
      <c r="J78" s="50">
        <v>6216022.3525</v>
      </c>
      <c r="M78" s="57"/>
      <c r="N78" s="57"/>
      <c r="O78" s="7"/>
    </row>
    <row r="79" spans="1:15" x14ac:dyDescent="0.2">
      <c r="A79" s="186" t="s">
        <v>665</v>
      </c>
      <c r="B79" s="188" t="s">
        <v>658</v>
      </c>
      <c r="C79" s="189">
        <v>5025.9719999999998</v>
      </c>
      <c r="D79" s="189">
        <v>9894.5370000000003</v>
      </c>
      <c r="E79" s="189">
        <v>199.70400000000001</v>
      </c>
      <c r="H79" s="25" t="s">
        <v>113</v>
      </c>
      <c r="I79" s="50">
        <v>287344.12319999997</v>
      </c>
      <c r="J79" s="50">
        <v>6216031.0358999996</v>
      </c>
      <c r="M79" s="57"/>
      <c r="N79" s="57"/>
      <c r="O79" s="7"/>
    </row>
    <row r="80" spans="1:15" x14ac:dyDescent="0.2">
      <c r="A80" s="186" t="s">
        <v>666</v>
      </c>
      <c r="B80" s="188" t="s">
        <v>658</v>
      </c>
      <c r="C80" s="189">
        <v>5025.9719999999998</v>
      </c>
      <c r="D80" s="189">
        <v>9894.5360000000001</v>
      </c>
      <c r="E80" s="189">
        <v>199.69499999999999</v>
      </c>
      <c r="H80" s="25" t="s">
        <v>114</v>
      </c>
      <c r="I80" s="50">
        <v>287360.4314</v>
      </c>
      <c r="J80" s="50">
        <v>6216038.2721999995</v>
      </c>
      <c r="M80" s="57"/>
      <c r="N80" s="57"/>
      <c r="O80" s="7"/>
    </row>
    <row r="81" spans="1:15" x14ac:dyDescent="0.2">
      <c r="A81" s="186" t="s">
        <v>667</v>
      </c>
      <c r="B81" s="188" t="s">
        <v>668</v>
      </c>
      <c r="C81" s="189">
        <v>5024.5919999999996</v>
      </c>
      <c r="D81" s="189">
        <v>9913.3989999999994</v>
      </c>
      <c r="E81" s="189">
        <v>199.42099999999999</v>
      </c>
      <c r="H81" s="25" t="s">
        <v>115</v>
      </c>
      <c r="I81" s="50">
        <v>287379.47960000002</v>
      </c>
      <c r="J81" s="50">
        <v>6216046.9061000003</v>
      </c>
      <c r="M81" s="57"/>
      <c r="N81" s="57"/>
      <c r="O81" s="7"/>
    </row>
    <row r="82" spans="1:15" x14ac:dyDescent="0.2">
      <c r="A82" s="186" t="s">
        <v>669</v>
      </c>
      <c r="B82" s="188" t="s">
        <v>668</v>
      </c>
      <c r="C82" s="189">
        <v>5024.5910000000003</v>
      </c>
      <c r="D82" s="189">
        <v>9913.3989999999994</v>
      </c>
      <c r="E82" s="189">
        <v>199.43</v>
      </c>
      <c r="H82" s="25" t="s">
        <v>466</v>
      </c>
      <c r="I82" s="50">
        <v>287474.40610000002</v>
      </c>
      <c r="J82" s="50">
        <v>6216086.0093</v>
      </c>
      <c r="M82" s="57"/>
      <c r="N82" s="57"/>
      <c r="O82" s="7"/>
    </row>
    <row r="83" spans="1:15" x14ac:dyDescent="0.2">
      <c r="A83" s="186" t="s">
        <v>670</v>
      </c>
      <c r="B83" s="188" t="s">
        <v>671</v>
      </c>
      <c r="C83" s="189">
        <v>5023.88</v>
      </c>
      <c r="D83" s="189">
        <v>9935.4680000000008</v>
      </c>
      <c r="E83" s="189">
        <v>198.07300000000001</v>
      </c>
      <c r="H83" s="25" t="s">
        <v>116</v>
      </c>
      <c r="I83" s="50">
        <v>287398.52010000002</v>
      </c>
      <c r="J83" s="50">
        <v>6216055.4411000004</v>
      </c>
      <c r="M83" s="57"/>
      <c r="N83" s="57"/>
      <c r="O83" s="7"/>
    </row>
    <row r="84" spans="1:15" x14ac:dyDescent="0.2">
      <c r="A84" s="186" t="s">
        <v>672</v>
      </c>
      <c r="B84" s="188" t="s">
        <v>671</v>
      </c>
      <c r="C84" s="189">
        <v>5023.8810000000003</v>
      </c>
      <c r="D84" s="189">
        <v>9935.4680000000008</v>
      </c>
      <c r="E84" s="189">
        <v>198.06700000000001</v>
      </c>
      <c r="H84" s="25" t="s">
        <v>117</v>
      </c>
      <c r="I84" s="50">
        <v>287417.36459999997</v>
      </c>
      <c r="J84" s="50">
        <v>6216063.9143000003</v>
      </c>
      <c r="M84" s="57"/>
      <c r="N84" s="57"/>
      <c r="O84" s="7"/>
    </row>
    <row r="85" spans="1:15" x14ac:dyDescent="0.2">
      <c r="A85" s="186" t="s">
        <v>673</v>
      </c>
      <c r="B85" s="188" t="s">
        <v>674</v>
      </c>
      <c r="C85" s="189">
        <v>5022.75</v>
      </c>
      <c r="D85" s="189">
        <v>9954.3770000000004</v>
      </c>
      <c r="E85" s="189">
        <v>197.626</v>
      </c>
      <c r="H85" s="25" t="s">
        <v>118</v>
      </c>
      <c r="I85" s="50">
        <v>287433.64429999999</v>
      </c>
      <c r="J85" s="50">
        <v>6216071.2748999996</v>
      </c>
      <c r="M85" s="57"/>
      <c r="N85" s="57"/>
      <c r="O85" s="7"/>
    </row>
    <row r="86" spans="1:15" x14ac:dyDescent="0.2">
      <c r="A86" s="186" t="s">
        <v>675</v>
      </c>
      <c r="B86" s="188" t="s">
        <v>674</v>
      </c>
      <c r="C86" s="189">
        <v>5022.75</v>
      </c>
      <c r="D86" s="189">
        <v>9954.3760000000002</v>
      </c>
      <c r="E86" s="189">
        <v>197.631</v>
      </c>
      <c r="H86" s="25" t="s">
        <v>119</v>
      </c>
      <c r="I86" s="50">
        <v>287452.663</v>
      </c>
      <c r="J86" s="50">
        <v>6216079.7002999997</v>
      </c>
      <c r="M86" s="57"/>
      <c r="N86" s="57"/>
      <c r="O86" s="7"/>
    </row>
    <row r="87" spans="1:15" x14ac:dyDescent="0.2">
      <c r="A87" s="186" t="s">
        <v>676</v>
      </c>
      <c r="B87" s="188" t="s">
        <v>677</v>
      </c>
      <c r="C87" s="189">
        <v>5021.085</v>
      </c>
      <c r="D87" s="189">
        <v>9974.3379999999997</v>
      </c>
      <c r="E87" s="189">
        <v>197.37100000000001</v>
      </c>
      <c r="H87" s="25" t="s">
        <v>120</v>
      </c>
      <c r="I87" s="50">
        <v>287471.43119999999</v>
      </c>
      <c r="J87" s="50">
        <v>6216088.1030000001</v>
      </c>
      <c r="M87" s="57"/>
      <c r="N87" s="57"/>
      <c r="O87" s="7"/>
    </row>
    <row r="88" spans="1:15" x14ac:dyDescent="0.2">
      <c r="A88" s="186" t="s">
        <v>678</v>
      </c>
      <c r="B88" s="188" t="s">
        <v>677</v>
      </c>
      <c r="C88" s="189">
        <v>5021.0860000000002</v>
      </c>
      <c r="D88" s="189">
        <v>9974.3389999999999</v>
      </c>
      <c r="E88" s="189">
        <v>197.36799999999999</v>
      </c>
      <c r="H88" s="25" t="s">
        <v>121</v>
      </c>
      <c r="I88" s="50">
        <v>287490.13900000002</v>
      </c>
      <c r="J88" s="50">
        <v>6216096.5987</v>
      </c>
      <c r="M88" s="57"/>
      <c r="N88" s="57"/>
      <c r="O88" s="7"/>
    </row>
    <row r="89" spans="1:15" x14ac:dyDescent="0.2">
      <c r="A89" s="186" t="s">
        <v>679</v>
      </c>
      <c r="B89" s="188" t="s">
        <v>680</v>
      </c>
      <c r="C89" s="189">
        <v>5019.4489999999996</v>
      </c>
      <c r="D89" s="189">
        <v>9998.8040000000001</v>
      </c>
      <c r="E89" s="189">
        <v>197.37100000000001</v>
      </c>
      <c r="H89" s="25" t="s">
        <v>122</v>
      </c>
      <c r="I89" s="50">
        <v>287514.27350000001</v>
      </c>
      <c r="J89" s="50">
        <v>6216128.0407999996</v>
      </c>
      <c r="M89" s="57"/>
      <c r="N89" s="57"/>
      <c r="O89" s="7"/>
    </row>
    <row r="90" spans="1:15" x14ac:dyDescent="0.2">
      <c r="A90" s="186" t="s">
        <v>681</v>
      </c>
      <c r="B90" s="188" t="s">
        <v>680</v>
      </c>
      <c r="C90" s="189">
        <v>5019.45</v>
      </c>
      <c r="D90" s="189">
        <v>9998.8040000000001</v>
      </c>
      <c r="E90" s="189">
        <v>197.37200000000001</v>
      </c>
      <c r="H90" s="25" t="s">
        <v>123</v>
      </c>
      <c r="I90" s="50">
        <v>287527.6532</v>
      </c>
      <c r="J90" s="50">
        <v>6216129.4724000003</v>
      </c>
      <c r="M90" s="57"/>
      <c r="N90" s="57"/>
      <c r="O90" s="7"/>
    </row>
    <row r="91" spans="1:15" x14ac:dyDescent="0.2">
      <c r="A91" s="186" t="s">
        <v>682</v>
      </c>
      <c r="B91" s="188" t="s">
        <v>683</v>
      </c>
      <c r="C91" s="189">
        <v>5018.518</v>
      </c>
      <c r="D91" s="189">
        <v>10012.828</v>
      </c>
      <c r="E91" s="189">
        <v>197.03100000000001</v>
      </c>
      <c r="H91" s="25" t="s">
        <v>467</v>
      </c>
      <c r="I91" s="50">
        <v>287583.18829999998</v>
      </c>
      <c r="J91" s="50">
        <v>6216155.7171</v>
      </c>
      <c r="M91" s="57"/>
      <c r="N91" s="57"/>
      <c r="O91" s="7"/>
    </row>
    <row r="92" spans="1:15" x14ac:dyDescent="0.2">
      <c r="A92" s="186" t="s">
        <v>684</v>
      </c>
      <c r="B92" s="188" t="s">
        <v>683</v>
      </c>
      <c r="C92" s="189">
        <v>5018.518</v>
      </c>
      <c r="D92" s="189">
        <v>10012.828</v>
      </c>
      <c r="E92" s="189">
        <v>197.03</v>
      </c>
      <c r="H92" s="25" t="s">
        <v>124</v>
      </c>
      <c r="I92" s="50">
        <v>287548.60930000001</v>
      </c>
      <c r="J92" s="50">
        <v>6216131.8370000003</v>
      </c>
      <c r="M92" s="57"/>
      <c r="N92" s="57"/>
      <c r="O92" s="7"/>
    </row>
    <row r="93" spans="1:15" x14ac:dyDescent="0.2">
      <c r="A93" s="186" t="s">
        <v>685</v>
      </c>
      <c r="B93" s="188" t="s">
        <v>686</v>
      </c>
      <c r="C93" s="189">
        <v>5017.4939999999997</v>
      </c>
      <c r="D93" s="189">
        <v>10035.539000000001</v>
      </c>
      <c r="E93" s="189">
        <v>197.41399999999999</v>
      </c>
      <c r="H93" s="25" t="s">
        <v>125</v>
      </c>
      <c r="I93" s="50">
        <v>287566.37430000002</v>
      </c>
      <c r="J93" s="50">
        <v>6216133.7922999999</v>
      </c>
      <c r="M93" s="57"/>
      <c r="N93" s="57"/>
      <c r="O93" s="7"/>
    </row>
    <row r="94" spans="1:15" x14ac:dyDescent="0.2">
      <c r="A94" s="186" t="s">
        <v>687</v>
      </c>
      <c r="B94" s="188" t="s">
        <v>686</v>
      </c>
      <c r="C94" s="189">
        <v>5017.4939999999997</v>
      </c>
      <c r="D94" s="189">
        <v>10035.540000000001</v>
      </c>
      <c r="E94" s="189">
        <v>197.417</v>
      </c>
      <c r="H94" s="25" t="s">
        <v>126</v>
      </c>
      <c r="I94" s="50">
        <v>287587.29810000001</v>
      </c>
      <c r="J94" s="50">
        <v>6216136.0930000003</v>
      </c>
      <c r="M94" s="57"/>
      <c r="N94" s="57"/>
      <c r="O94" s="7"/>
    </row>
    <row r="95" spans="1:15" x14ac:dyDescent="0.2">
      <c r="A95" s="186" t="s">
        <v>688</v>
      </c>
      <c r="B95" s="188" t="s">
        <v>689</v>
      </c>
      <c r="C95" s="189">
        <v>5016.0990000000002</v>
      </c>
      <c r="D95" s="189">
        <v>10056.526</v>
      </c>
      <c r="E95" s="189">
        <v>197.554</v>
      </c>
      <c r="H95" s="25" t="s">
        <v>127</v>
      </c>
      <c r="I95" s="50">
        <v>287604.97519999999</v>
      </c>
      <c r="J95" s="50">
        <v>6216137.7050000001</v>
      </c>
      <c r="N95" s="57"/>
      <c r="O95" s="7"/>
    </row>
    <row r="96" spans="1:15" x14ac:dyDescent="0.2">
      <c r="A96" s="186" t="s">
        <v>690</v>
      </c>
      <c r="B96" s="188" t="s">
        <v>689</v>
      </c>
      <c r="C96" s="189">
        <v>5016.0969999999998</v>
      </c>
      <c r="D96" s="189">
        <v>10056.526</v>
      </c>
      <c r="E96" s="189">
        <v>197.55199999999999</v>
      </c>
      <c r="H96" s="25" t="s">
        <v>128</v>
      </c>
      <c r="I96" s="50">
        <v>287625.42009999999</v>
      </c>
      <c r="J96" s="50">
        <v>6216139.3301999997</v>
      </c>
      <c r="N96" s="57"/>
      <c r="O96" s="7"/>
    </row>
    <row r="97" spans="1:15" x14ac:dyDescent="0.2">
      <c r="A97" s="186" t="s">
        <v>691</v>
      </c>
      <c r="B97" s="188" t="s">
        <v>692</v>
      </c>
      <c r="C97" s="189">
        <v>5014.8639999999996</v>
      </c>
      <c r="D97" s="189">
        <v>10071.849</v>
      </c>
      <c r="E97" s="189">
        <v>197.51</v>
      </c>
      <c r="H97" s="25" t="s">
        <v>129</v>
      </c>
      <c r="I97" s="50">
        <v>287645.93190000003</v>
      </c>
      <c r="J97" s="50">
        <v>6216140.9903999995</v>
      </c>
      <c r="K97" s="6"/>
      <c r="N97" s="57"/>
      <c r="O97" s="7"/>
    </row>
    <row r="98" spans="1:15" x14ac:dyDescent="0.2">
      <c r="A98" s="186" t="s">
        <v>693</v>
      </c>
      <c r="B98" s="188" t="s">
        <v>692</v>
      </c>
      <c r="C98" s="189">
        <v>5014.8639999999996</v>
      </c>
      <c r="D98" s="189">
        <v>10071.849</v>
      </c>
      <c r="E98" s="189">
        <v>197.517</v>
      </c>
      <c r="H98" s="25" t="s">
        <v>130</v>
      </c>
      <c r="I98" s="50">
        <v>287667.41230000003</v>
      </c>
      <c r="J98" s="50">
        <v>6216142.8589000003</v>
      </c>
      <c r="N98" s="57"/>
      <c r="O98" s="7"/>
    </row>
    <row r="99" spans="1:15" x14ac:dyDescent="0.2">
      <c r="A99" s="186" t="s">
        <v>694</v>
      </c>
      <c r="B99" s="188" t="s">
        <v>692</v>
      </c>
      <c r="C99" s="189">
        <v>5014.8639999999996</v>
      </c>
      <c r="D99" s="189">
        <v>10071.85</v>
      </c>
      <c r="E99" s="189">
        <v>197.518</v>
      </c>
      <c r="H99" s="25" t="s">
        <v>362</v>
      </c>
      <c r="I99" s="50">
        <v>287717.2856</v>
      </c>
      <c r="J99" s="50">
        <v>6216187.0857999995</v>
      </c>
      <c r="N99" s="57"/>
      <c r="O99" s="7"/>
    </row>
    <row r="100" spans="1:15" x14ac:dyDescent="0.2">
      <c r="A100" s="186" t="s">
        <v>695</v>
      </c>
      <c r="B100" s="188" t="s">
        <v>692</v>
      </c>
      <c r="C100" s="189">
        <v>5014.8649999999998</v>
      </c>
      <c r="D100" s="189">
        <v>10071.849</v>
      </c>
      <c r="E100" s="189">
        <v>197.51</v>
      </c>
      <c r="H100" s="25" t="s">
        <v>131</v>
      </c>
      <c r="I100" s="50">
        <v>287687.37880000001</v>
      </c>
      <c r="J100" s="50">
        <v>6216144.3808000004</v>
      </c>
      <c r="N100" s="57"/>
      <c r="O100" s="7"/>
    </row>
    <row r="101" spans="1:15" x14ac:dyDescent="0.2">
      <c r="A101" s="186"/>
      <c r="B101" s="188" t="s">
        <v>710</v>
      </c>
      <c r="C101" s="189"/>
      <c r="D101" s="189"/>
      <c r="E101" s="189"/>
      <c r="H101" s="25" t="s">
        <v>132</v>
      </c>
      <c r="I101" s="50">
        <v>287707.1054</v>
      </c>
      <c r="J101" s="50">
        <v>6216145.3435000004</v>
      </c>
      <c r="N101" s="57"/>
      <c r="O101" s="7"/>
    </row>
    <row r="102" spans="1:15" x14ac:dyDescent="0.2">
      <c r="A102" s="186" t="s">
        <v>768</v>
      </c>
      <c r="B102" s="188">
        <v>1</v>
      </c>
      <c r="C102" s="189"/>
      <c r="D102" s="189"/>
      <c r="E102" s="189"/>
      <c r="H102" s="25" t="s">
        <v>133</v>
      </c>
      <c r="I102" s="50">
        <v>287728.14110000001</v>
      </c>
      <c r="J102" s="50">
        <v>6216146.7598999999</v>
      </c>
      <c r="N102" s="57"/>
      <c r="O102" s="7"/>
    </row>
    <row r="103" spans="1:15" x14ac:dyDescent="0.2">
      <c r="A103" s="186" t="s">
        <v>738</v>
      </c>
      <c r="B103" s="188" t="s">
        <v>697</v>
      </c>
      <c r="C103" s="189">
        <v>5023.451</v>
      </c>
      <c r="D103" s="189">
        <v>9976.4549999999999</v>
      </c>
      <c r="E103" s="189">
        <v>196.83500000000001</v>
      </c>
      <c r="H103" s="25" t="s">
        <v>134</v>
      </c>
      <c r="I103" s="50">
        <v>287747.73249999998</v>
      </c>
      <c r="J103" s="50">
        <v>6216148.1770000001</v>
      </c>
      <c r="N103" s="57"/>
      <c r="O103" s="7"/>
    </row>
    <row r="104" spans="1:15" x14ac:dyDescent="0.2">
      <c r="A104" s="186" t="s">
        <v>739</v>
      </c>
      <c r="B104" s="188" t="s">
        <v>697</v>
      </c>
      <c r="C104" s="189">
        <v>5023.451</v>
      </c>
      <c r="D104" s="189">
        <v>9976.4549999999999</v>
      </c>
      <c r="E104" s="189">
        <v>196.83699999999999</v>
      </c>
      <c r="H104" s="25" t="s">
        <v>135</v>
      </c>
      <c r="I104" s="50">
        <v>287767.28909999999</v>
      </c>
      <c r="J104" s="50">
        <v>6216149.8596000001</v>
      </c>
      <c r="N104" s="57"/>
      <c r="O104" s="7"/>
    </row>
    <row r="105" spans="1:15" x14ac:dyDescent="0.2">
      <c r="A105" s="186" t="s">
        <v>740</v>
      </c>
      <c r="B105" s="188" t="s">
        <v>697</v>
      </c>
      <c r="C105" s="189">
        <v>5023.451</v>
      </c>
      <c r="D105" s="189">
        <v>9976.4549999999999</v>
      </c>
      <c r="E105" s="189">
        <v>196.83699999999999</v>
      </c>
      <c r="H105" s="25" t="s">
        <v>136</v>
      </c>
      <c r="I105" s="50">
        <v>287790.85019999999</v>
      </c>
      <c r="J105" s="50">
        <v>6216151.4907</v>
      </c>
      <c r="N105" s="57"/>
      <c r="O105" s="7"/>
    </row>
    <row r="106" spans="1:15" x14ac:dyDescent="0.2">
      <c r="A106" s="186" t="s">
        <v>741</v>
      </c>
      <c r="B106" s="188" t="s">
        <v>697</v>
      </c>
      <c r="C106" s="189">
        <v>5023.451</v>
      </c>
      <c r="D106" s="189">
        <v>9976.4560000000001</v>
      </c>
      <c r="E106" s="189">
        <v>196.834</v>
      </c>
      <c r="H106" s="25" t="s">
        <v>137</v>
      </c>
      <c r="I106" s="50">
        <v>287809.9093</v>
      </c>
      <c r="J106" s="50">
        <v>6216153.9616999999</v>
      </c>
      <c r="N106" s="57"/>
      <c r="O106" s="7"/>
    </row>
    <row r="107" spans="1:15" x14ac:dyDescent="0.2">
      <c r="A107" s="186" t="s">
        <v>742</v>
      </c>
      <c r="B107" s="188" t="s">
        <v>689</v>
      </c>
      <c r="C107" s="189">
        <v>5034.6629999999996</v>
      </c>
      <c r="D107" s="189">
        <v>9938.2669999999998</v>
      </c>
      <c r="E107" s="189">
        <v>196.887</v>
      </c>
      <c r="H107" s="25" t="s">
        <v>138</v>
      </c>
      <c r="I107" s="50">
        <v>287830.39870000002</v>
      </c>
      <c r="J107" s="50">
        <v>6216157.5278000003</v>
      </c>
      <c r="N107" s="57"/>
      <c r="O107" s="7"/>
    </row>
    <row r="108" spans="1:15" x14ac:dyDescent="0.2">
      <c r="A108" s="186" t="s">
        <v>743</v>
      </c>
      <c r="B108" s="188" t="s">
        <v>689</v>
      </c>
      <c r="C108" s="189">
        <v>5034.6629999999996</v>
      </c>
      <c r="D108" s="189">
        <v>9938.2659999999996</v>
      </c>
      <c r="E108" s="189">
        <v>196.89400000000001</v>
      </c>
      <c r="H108" s="25" t="s">
        <v>139</v>
      </c>
      <c r="I108" s="50">
        <v>287848.20939999999</v>
      </c>
      <c r="J108" s="50">
        <v>6216162.9508999996</v>
      </c>
      <c r="N108" s="57"/>
      <c r="O108" s="7"/>
    </row>
    <row r="109" spans="1:15" x14ac:dyDescent="0.2">
      <c r="A109" s="186" t="s">
        <v>744</v>
      </c>
      <c r="B109" s="188" t="s">
        <v>689</v>
      </c>
      <c r="C109" s="189">
        <v>5034.6629999999996</v>
      </c>
      <c r="D109" s="189">
        <v>9938.2659999999996</v>
      </c>
      <c r="E109" s="189">
        <v>196.89500000000001</v>
      </c>
      <c r="H109" s="25" t="s">
        <v>140</v>
      </c>
      <c r="I109" s="50">
        <v>287868.77</v>
      </c>
      <c r="J109" s="50">
        <v>6216169.1449999996</v>
      </c>
    </row>
    <row r="110" spans="1:15" x14ac:dyDescent="0.2">
      <c r="A110" s="186" t="s">
        <v>745</v>
      </c>
      <c r="B110" s="188" t="s">
        <v>689</v>
      </c>
      <c r="C110" s="189">
        <v>5034.6639999999998</v>
      </c>
      <c r="D110" s="189">
        <v>9938.2669999999998</v>
      </c>
      <c r="E110" s="189">
        <v>196.887</v>
      </c>
      <c r="H110" s="25" t="s">
        <v>141</v>
      </c>
      <c r="I110" s="50">
        <v>287886.5171</v>
      </c>
      <c r="J110" s="50">
        <v>6216174.8088999996</v>
      </c>
    </row>
    <row r="111" spans="1:15" x14ac:dyDescent="0.2">
      <c r="A111" s="10"/>
      <c r="B111" s="11" t="s">
        <v>773</v>
      </c>
      <c r="C111" s="207"/>
      <c r="D111" s="207"/>
      <c r="E111" s="207"/>
      <c r="H111" s="25" t="s">
        <v>142</v>
      </c>
      <c r="I111" s="50">
        <v>287906.2317</v>
      </c>
      <c r="J111" s="50">
        <v>6216182.0522999996</v>
      </c>
    </row>
    <row r="112" spans="1:15" x14ac:dyDescent="0.2">
      <c r="A112" s="10" t="s">
        <v>774</v>
      </c>
      <c r="B112" s="11" t="s">
        <v>775</v>
      </c>
      <c r="C112" s="207">
        <v>9963.2690000000002</v>
      </c>
      <c r="D112" s="207">
        <v>5086.732</v>
      </c>
      <c r="E112" s="207">
        <v>200.88300000000001</v>
      </c>
      <c r="H112" s="25" t="s">
        <v>143</v>
      </c>
      <c r="I112" s="50">
        <v>287922.49369999999</v>
      </c>
      <c r="J112" s="50">
        <v>6216191.1442</v>
      </c>
    </row>
    <row r="113" spans="1:10" x14ac:dyDescent="0.2">
      <c r="A113" s="10" t="s">
        <v>776</v>
      </c>
      <c r="B113" s="11" t="s">
        <v>775</v>
      </c>
      <c r="C113" s="207">
        <v>9963.2659999999996</v>
      </c>
      <c r="D113" s="207">
        <v>5086.7309999999998</v>
      </c>
      <c r="E113" s="207">
        <v>200.881</v>
      </c>
      <c r="H113" s="25" t="s">
        <v>484</v>
      </c>
      <c r="I113" s="50">
        <v>287982.462</v>
      </c>
      <c r="J113" s="50">
        <v>6216215.1520999996</v>
      </c>
    </row>
    <row r="114" spans="1:10" x14ac:dyDescent="0.2">
      <c r="A114" s="10" t="s">
        <v>777</v>
      </c>
      <c r="B114" s="11" t="s">
        <v>775</v>
      </c>
      <c r="C114" s="207">
        <v>9963.2659999999996</v>
      </c>
      <c r="D114" s="207">
        <v>5086.7309999999998</v>
      </c>
      <c r="E114" s="207">
        <v>200.881</v>
      </c>
      <c r="H114" s="25" t="s">
        <v>696</v>
      </c>
      <c r="I114" s="72">
        <v>288007.63390000002</v>
      </c>
      <c r="J114" s="72">
        <v>6216201.1941</v>
      </c>
    </row>
    <row r="115" spans="1:10" x14ac:dyDescent="0.2">
      <c r="A115" s="10" t="s">
        <v>778</v>
      </c>
      <c r="B115" s="11" t="s">
        <v>775</v>
      </c>
      <c r="C115" s="207">
        <v>9963.2690000000002</v>
      </c>
      <c r="D115" s="207">
        <v>5086.732</v>
      </c>
      <c r="E115" s="207">
        <v>200.88399999999999</v>
      </c>
      <c r="H115" s="25" t="s">
        <v>471</v>
      </c>
      <c r="I115" s="72">
        <v>287991.4743</v>
      </c>
      <c r="J115" s="72">
        <v>6216171.6869000001</v>
      </c>
    </row>
    <row r="116" spans="1:10" x14ac:dyDescent="0.2">
      <c r="A116" s="10" t="s">
        <v>779</v>
      </c>
      <c r="B116" s="11" t="s">
        <v>780</v>
      </c>
      <c r="C116" s="207">
        <v>10040.055</v>
      </c>
      <c r="D116" s="207">
        <v>4949.3900000000003</v>
      </c>
      <c r="E116" s="207">
        <v>195.30600000000001</v>
      </c>
      <c r="H116" s="25" t="s">
        <v>474</v>
      </c>
      <c r="I116" s="72">
        <v>288000.86680000002</v>
      </c>
      <c r="J116" s="72">
        <v>6216191.2423</v>
      </c>
    </row>
    <row r="117" spans="1:10" x14ac:dyDescent="0.2">
      <c r="A117" s="10" t="s">
        <v>781</v>
      </c>
      <c r="B117" s="11" t="s">
        <v>780</v>
      </c>
      <c r="C117" s="207">
        <v>10040.054</v>
      </c>
      <c r="D117" s="207">
        <v>4949.3879999999999</v>
      </c>
      <c r="E117" s="207">
        <v>195.30600000000001</v>
      </c>
      <c r="H117" s="25" t="s">
        <v>477</v>
      </c>
      <c r="I117" s="72">
        <v>288010.9374</v>
      </c>
      <c r="J117" s="72">
        <v>6216206.1496000001</v>
      </c>
    </row>
    <row r="118" spans="1:10" x14ac:dyDescent="0.2">
      <c r="A118" s="10" t="s">
        <v>782</v>
      </c>
      <c r="B118" s="11" t="s">
        <v>780</v>
      </c>
      <c r="C118" s="207">
        <v>10040.054</v>
      </c>
      <c r="D118" s="207">
        <v>4949.3890000000001</v>
      </c>
      <c r="E118" s="207">
        <v>195.30600000000001</v>
      </c>
      <c r="H118" s="25" t="s">
        <v>491</v>
      </c>
      <c r="I118" s="72">
        <v>287994.22210000001</v>
      </c>
      <c r="J118" s="72">
        <v>6216230.1270000003</v>
      </c>
    </row>
    <row r="119" spans="1:10" x14ac:dyDescent="0.2">
      <c r="A119" s="10" t="s">
        <v>783</v>
      </c>
      <c r="B119" s="11" t="s">
        <v>780</v>
      </c>
      <c r="C119" s="207">
        <v>10040.056</v>
      </c>
      <c r="D119" s="207">
        <v>4949.3900000000003</v>
      </c>
      <c r="E119" s="207">
        <v>195.30699999999999</v>
      </c>
      <c r="H119" s="25" t="s">
        <v>494</v>
      </c>
      <c r="I119" s="72">
        <v>288026.527</v>
      </c>
      <c r="J119" s="72">
        <v>6216222.1041999999</v>
      </c>
    </row>
    <row r="120" spans="1:10" x14ac:dyDescent="0.2">
      <c r="A120" s="10" t="s">
        <v>784</v>
      </c>
      <c r="B120" s="11" t="s">
        <v>785</v>
      </c>
      <c r="C120" s="207">
        <v>10012.072</v>
      </c>
      <c r="D120" s="207">
        <v>5070.9719999999998</v>
      </c>
      <c r="E120" s="207">
        <v>202.21</v>
      </c>
      <c r="H120" s="25" t="s">
        <v>497</v>
      </c>
      <c r="I120" s="72">
        <v>288004.82160000002</v>
      </c>
      <c r="J120" s="72">
        <v>6216241.5379999997</v>
      </c>
    </row>
    <row r="121" spans="1:10" x14ac:dyDescent="0.2">
      <c r="A121" s="10" t="s">
        <v>786</v>
      </c>
      <c r="B121" s="11" t="s">
        <v>785</v>
      </c>
      <c r="C121" s="207">
        <v>10012.071</v>
      </c>
      <c r="D121" s="207">
        <v>5070.973</v>
      </c>
      <c r="E121" s="207">
        <v>202.20699999999999</v>
      </c>
      <c r="H121" s="25" t="s">
        <v>500</v>
      </c>
      <c r="I121" s="72">
        <v>288047.27789999999</v>
      </c>
      <c r="J121" s="72">
        <v>6216235.3885000004</v>
      </c>
    </row>
    <row r="122" spans="1:10" x14ac:dyDescent="0.2">
      <c r="A122" s="10" t="s">
        <v>787</v>
      </c>
      <c r="B122" s="11" t="s">
        <v>785</v>
      </c>
      <c r="C122" s="207">
        <v>10012.071</v>
      </c>
      <c r="D122" s="207">
        <v>5070.973</v>
      </c>
      <c r="E122" s="207">
        <v>202.20699999999999</v>
      </c>
      <c r="H122" s="25" t="s">
        <v>508</v>
      </c>
      <c r="I122" s="72">
        <v>288064.43160000001</v>
      </c>
      <c r="J122" s="72">
        <v>6216245.9616999999</v>
      </c>
    </row>
    <row r="123" spans="1:10" x14ac:dyDescent="0.2">
      <c r="A123" s="10" t="s">
        <v>788</v>
      </c>
      <c r="B123" s="11" t="s">
        <v>785</v>
      </c>
      <c r="C123" s="207">
        <v>10012.072</v>
      </c>
      <c r="D123" s="207">
        <v>5070.9719999999998</v>
      </c>
      <c r="E123" s="207">
        <v>202.209</v>
      </c>
      <c r="H123" s="25" t="s">
        <v>511</v>
      </c>
      <c r="I123" s="72">
        <v>288042.86780000001</v>
      </c>
      <c r="J123" s="72">
        <v>6216262.6371999998</v>
      </c>
    </row>
    <row r="124" spans="1:10" x14ac:dyDescent="0.2">
      <c r="A124" s="10"/>
      <c r="B124" s="11" t="s">
        <v>789</v>
      </c>
      <c r="C124" s="207"/>
      <c r="D124" s="207"/>
      <c r="E124" s="207"/>
      <c r="H124" s="25" t="s">
        <v>514</v>
      </c>
      <c r="I124" s="72">
        <v>288080.32829999999</v>
      </c>
      <c r="J124" s="72">
        <v>6216255.8211000003</v>
      </c>
    </row>
    <row r="125" spans="1:10" x14ac:dyDescent="0.2">
      <c r="A125" s="10" t="s">
        <v>790</v>
      </c>
      <c r="B125" s="11" t="s">
        <v>780</v>
      </c>
      <c r="C125" s="207">
        <v>10027.074000000001</v>
      </c>
      <c r="D125" s="207">
        <v>5053.107</v>
      </c>
      <c r="E125" s="207">
        <v>200.863</v>
      </c>
      <c r="H125" s="25" t="s">
        <v>517</v>
      </c>
      <c r="I125" s="72">
        <v>288062.53869999998</v>
      </c>
      <c r="J125" s="72">
        <v>6216270.7706000004</v>
      </c>
    </row>
    <row r="126" spans="1:10" x14ac:dyDescent="0.2">
      <c r="A126" s="10" t="s">
        <v>791</v>
      </c>
      <c r="B126" s="11" t="s">
        <v>780</v>
      </c>
      <c r="C126" s="207">
        <v>10027.074000000001</v>
      </c>
      <c r="D126" s="207">
        <v>5053.107</v>
      </c>
      <c r="E126" s="207">
        <v>200.86199999999999</v>
      </c>
      <c r="H126" s="25" t="s">
        <v>771</v>
      </c>
      <c r="I126" s="72">
        <v>288032.72749999998</v>
      </c>
      <c r="J126" s="72">
        <v>6216225.1847999999</v>
      </c>
    </row>
    <row r="127" spans="1:10" x14ac:dyDescent="0.2">
      <c r="A127" s="10" t="s">
        <v>792</v>
      </c>
      <c r="B127" s="11" t="s">
        <v>780</v>
      </c>
      <c r="C127" s="207">
        <v>10027.074000000001</v>
      </c>
      <c r="D127" s="207">
        <v>5053.107</v>
      </c>
      <c r="E127" s="207">
        <v>200.86199999999999</v>
      </c>
      <c r="H127" s="25" t="s">
        <v>519</v>
      </c>
      <c r="I127" s="72">
        <v>288113.97570000001</v>
      </c>
      <c r="J127" s="72">
        <v>6216268.9036999997</v>
      </c>
    </row>
    <row r="128" spans="1:10" x14ac:dyDescent="0.2">
      <c r="A128" s="10" t="s">
        <v>793</v>
      </c>
      <c r="B128" s="11" t="s">
        <v>780</v>
      </c>
      <c r="C128" s="207">
        <v>10027.075000000001</v>
      </c>
      <c r="D128" s="207">
        <v>5053.1059999999998</v>
      </c>
      <c r="E128" s="207">
        <v>200.863</v>
      </c>
      <c r="H128" s="25" t="s">
        <v>505</v>
      </c>
      <c r="I128" s="72">
        <v>288024.01280000003</v>
      </c>
      <c r="J128" s="72">
        <v>6216255.0138999997</v>
      </c>
    </row>
    <row r="129" spans="1:15" x14ac:dyDescent="0.2">
      <c r="A129" s="10" t="s">
        <v>794</v>
      </c>
      <c r="B129" s="11" t="s">
        <v>795</v>
      </c>
      <c r="C129" s="207">
        <v>9946.9310000000005</v>
      </c>
      <c r="D129" s="207">
        <v>4967.4189999999999</v>
      </c>
      <c r="E129" s="207">
        <v>201.03899999999999</v>
      </c>
      <c r="H129" s="25" t="s">
        <v>529</v>
      </c>
      <c r="I129" s="72">
        <v>288099.09909999999</v>
      </c>
      <c r="J129" s="72">
        <v>6216264.2002999997</v>
      </c>
    </row>
    <row r="130" spans="1:15" x14ac:dyDescent="0.2">
      <c r="A130" s="10" t="s">
        <v>796</v>
      </c>
      <c r="B130" s="11" t="s">
        <v>795</v>
      </c>
      <c r="C130" s="207">
        <v>9946.9310000000005</v>
      </c>
      <c r="D130" s="207">
        <v>4967.4179999999997</v>
      </c>
      <c r="E130" s="207">
        <v>201.03800000000001</v>
      </c>
      <c r="H130" s="25" t="s">
        <v>532</v>
      </c>
      <c r="I130" s="72">
        <v>288118.89929999999</v>
      </c>
      <c r="J130" s="72">
        <v>6216272.2369999997</v>
      </c>
    </row>
    <row r="131" spans="1:15" x14ac:dyDescent="0.2">
      <c r="A131" s="10" t="s">
        <v>797</v>
      </c>
      <c r="B131" s="11" t="s">
        <v>795</v>
      </c>
      <c r="C131" s="207">
        <v>9946.93</v>
      </c>
      <c r="D131" s="207">
        <v>4967.4189999999999</v>
      </c>
      <c r="E131" s="207">
        <v>201.03800000000001</v>
      </c>
      <c r="H131" s="25" t="s">
        <v>535</v>
      </c>
      <c r="I131" s="72">
        <v>288135.92910000001</v>
      </c>
      <c r="J131" s="72">
        <v>6216279.3184000002</v>
      </c>
      <c r="N131" s="57"/>
      <c r="O131" s="7"/>
    </row>
    <row r="132" spans="1:15" x14ac:dyDescent="0.2">
      <c r="A132" s="10" t="s">
        <v>798</v>
      </c>
      <c r="B132" s="11" t="s">
        <v>795</v>
      </c>
      <c r="C132" s="207">
        <v>9946.9310000000005</v>
      </c>
      <c r="D132" s="207">
        <v>4967.4189999999999</v>
      </c>
      <c r="E132" s="207">
        <v>201.03899999999999</v>
      </c>
      <c r="H132" s="25" t="s">
        <v>538</v>
      </c>
      <c r="I132" s="72">
        <v>288155.85649999999</v>
      </c>
      <c r="J132" s="72">
        <v>6216287.4501</v>
      </c>
    </row>
    <row r="133" spans="1:15" x14ac:dyDescent="0.2">
      <c r="A133" s="10"/>
      <c r="B133" s="11" t="s">
        <v>799</v>
      </c>
      <c r="C133" s="207"/>
      <c r="D133" s="207"/>
      <c r="E133" s="207"/>
      <c r="H133" s="25" t="s">
        <v>541</v>
      </c>
      <c r="I133" s="72">
        <v>288173.82799999998</v>
      </c>
      <c r="J133" s="72">
        <v>6216294.9340000004</v>
      </c>
      <c r="N133" s="57"/>
      <c r="O133" s="7"/>
    </row>
    <row r="134" spans="1:15" x14ac:dyDescent="0.2">
      <c r="A134" s="10" t="s">
        <v>800</v>
      </c>
      <c r="B134" s="11" t="s">
        <v>795</v>
      </c>
      <c r="C134" s="207">
        <v>9956.0310000000009</v>
      </c>
      <c r="D134" s="207">
        <v>4956.1400000000003</v>
      </c>
      <c r="E134" s="207">
        <v>196.38800000000001</v>
      </c>
      <c r="H134" s="25" t="s">
        <v>544</v>
      </c>
      <c r="I134" s="72">
        <v>288191.31910000002</v>
      </c>
      <c r="J134" s="72">
        <v>6216302.2000000002</v>
      </c>
    </row>
    <row r="135" spans="1:15" x14ac:dyDescent="0.2">
      <c r="A135" s="10" t="s">
        <v>801</v>
      </c>
      <c r="B135" s="11" t="s">
        <v>795</v>
      </c>
      <c r="C135" s="207">
        <v>9956.0310000000009</v>
      </c>
      <c r="D135" s="207">
        <v>4956.1409999999996</v>
      </c>
      <c r="E135" s="207">
        <v>196.387</v>
      </c>
      <c r="H135" s="25" t="s">
        <v>554</v>
      </c>
      <c r="I135" s="72">
        <v>288208.68</v>
      </c>
      <c r="J135" s="72">
        <v>6216309.3229</v>
      </c>
    </row>
    <row r="136" spans="1:15" x14ac:dyDescent="0.2">
      <c r="A136" s="10" t="s">
        <v>802</v>
      </c>
      <c r="B136" s="11" t="s">
        <v>795</v>
      </c>
      <c r="C136" s="207">
        <v>9956.0310000000009</v>
      </c>
      <c r="D136" s="207">
        <v>4956.1400000000003</v>
      </c>
      <c r="E136" s="207">
        <v>196.387</v>
      </c>
      <c r="H136" s="25" t="s">
        <v>557</v>
      </c>
      <c r="I136" s="206">
        <v>288226.09169999999</v>
      </c>
      <c r="J136" s="206">
        <v>6216316.5314999996</v>
      </c>
    </row>
    <row r="137" spans="1:15" x14ac:dyDescent="0.2">
      <c r="A137" s="10" t="s">
        <v>803</v>
      </c>
      <c r="B137" s="11" t="s">
        <v>795</v>
      </c>
      <c r="C137" s="207">
        <v>9956.0310000000009</v>
      </c>
      <c r="D137" s="207">
        <v>4956.1400000000003</v>
      </c>
      <c r="E137" s="207">
        <v>196.38800000000001</v>
      </c>
      <c r="H137" s="25" t="s">
        <v>560</v>
      </c>
      <c r="I137" s="206">
        <v>288246.201</v>
      </c>
      <c r="J137" s="206">
        <v>6216324.5953000002</v>
      </c>
    </row>
    <row r="138" spans="1:15" x14ac:dyDescent="0.2">
      <c r="A138" s="10" t="s">
        <v>804</v>
      </c>
      <c r="B138" s="11" t="s">
        <v>62</v>
      </c>
      <c r="C138" s="207">
        <v>10027.143</v>
      </c>
      <c r="D138" s="207">
        <v>5058.0190000000002</v>
      </c>
      <c r="E138" s="207">
        <v>201.09899999999999</v>
      </c>
      <c r="H138" s="25" t="s">
        <v>563</v>
      </c>
      <c r="I138" s="206">
        <v>288263.49859999999</v>
      </c>
      <c r="J138" s="206">
        <v>6216331.5884999996</v>
      </c>
    </row>
    <row r="139" spans="1:15" x14ac:dyDescent="0.2">
      <c r="A139" s="10" t="s">
        <v>805</v>
      </c>
      <c r="B139" s="11" t="s">
        <v>62</v>
      </c>
      <c r="C139" s="207">
        <v>10027.144</v>
      </c>
      <c r="D139" s="207">
        <v>5058.0190000000002</v>
      </c>
      <c r="E139" s="207">
        <v>201.09700000000001</v>
      </c>
      <c r="H139" s="25" t="s">
        <v>566</v>
      </c>
      <c r="I139" s="206">
        <v>288282.9791</v>
      </c>
      <c r="J139" s="206">
        <v>6216339.0928999996</v>
      </c>
    </row>
    <row r="140" spans="1:15" x14ac:dyDescent="0.2">
      <c r="A140" s="10" t="s">
        <v>806</v>
      </c>
      <c r="B140" s="11" t="s">
        <v>62</v>
      </c>
      <c r="C140" s="207">
        <v>10027.142</v>
      </c>
      <c r="D140" s="207">
        <v>5058.0200000000004</v>
      </c>
      <c r="E140" s="207">
        <v>201.09700000000001</v>
      </c>
      <c r="H140" s="25" t="s">
        <v>569</v>
      </c>
      <c r="I140" s="206">
        <v>288300.3173</v>
      </c>
      <c r="J140" s="206">
        <v>6216345.4720999999</v>
      </c>
    </row>
    <row r="141" spans="1:15" x14ac:dyDescent="0.2">
      <c r="A141" s="10" t="s">
        <v>807</v>
      </c>
      <c r="B141" s="11" t="s">
        <v>62</v>
      </c>
      <c r="C141" s="207">
        <v>10027.143</v>
      </c>
      <c r="D141" s="207">
        <v>5058.0190000000002</v>
      </c>
      <c r="E141" s="207">
        <v>201.09800000000001</v>
      </c>
      <c r="H141" s="25" t="s">
        <v>572</v>
      </c>
      <c r="I141" s="206">
        <v>288320.63260000001</v>
      </c>
      <c r="J141" s="206">
        <v>6216350.9926000005</v>
      </c>
    </row>
    <row r="142" spans="1:15" x14ac:dyDescent="0.2">
      <c r="A142" s="10" t="s">
        <v>808</v>
      </c>
      <c r="B142" s="11" t="s">
        <v>770</v>
      </c>
      <c r="C142" s="207">
        <v>9995.3870000000006</v>
      </c>
      <c r="D142" s="207">
        <v>5002.5569999999998</v>
      </c>
      <c r="E142" s="207">
        <v>200.12299999999999</v>
      </c>
      <c r="H142" s="25" t="s">
        <v>575</v>
      </c>
      <c r="I142" s="206">
        <v>288338.05989999999</v>
      </c>
      <c r="J142" s="206">
        <v>6216353.4917000001</v>
      </c>
    </row>
    <row r="143" spans="1:15" x14ac:dyDescent="0.2">
      <c r="A143" s="10" t="s">
        <v>809</v>
      </c>
      <c r="B143" s="11" t="s">
        <v>770</v>
      </c>
      <c r="C143" s="207">
        <v>9995.3860000000004</v>
      </c>
      <c r="D143" s="207">
        <v>5002.5569999999998</v>
      </c>
      <c r="E143" s="207">
        <v>200.12200000000001</v>
      </c>
      <c r="H143" s="25" t="s">
        <v>578</v>
      </c>
      <c r="I143" s="206">
        <v>288359.55450000003</v>
      </c>
      <c r="J143" s="206">
        <v>6216356.7023</v>
      </c>
    </row>
    <row r="144" spans="1:15" x14ac:dyDescent="0.2">
      <c r="A144" s="10" t="s">
        <v>810</v>
      </c>
      <c r="B144" s="11" t="s">
        <v>770</v>
      </c>
      <c r="C144" s="207">
        <v>9995.3860000000004</v>
      </c>
      <c r="D144" s="207">
        <v>5002.5569999999998</v>
      </c>
      <c r="E144" s="207">
        <v>200.12200000000001</v>
      </c>
      <c r="H144" s="25" t="s">
        <v>581</v>
      </c>
      <c r="I144" s="206">
        <v>288377.82949999999</v>
      </c>
      <c r="J144" s="206">
        <v>6216359.3540000003</v>
      </c>
    </row>
    <row r="145" spans="1:10" x14ac:dyDescent="0.2">
      <c r="A145" s="10" t="s">
        <v>811</v>
      </c>
      <c r="B145" s="11" t="s">
        <v>770</v>
      </c>
      <c r="C145" s="207">
        <v>9995.3860000000004</v>
      </c>
      <c r="D145" s="207">
        <v>5002.5569999999998</v>
      </c>
      <c r="E145" s="207">
        <v>200.12299999999999</v>
      </c>
      <c r="H145" s="25" t="s">
        <v>584</v>
      </c>
      <c r="I145" s="206">
        <v>288399.47899999999</v>
      </c>
      <c r="J145" s="206">
        <v>6216362.5504999999</v>
      </c>
    </row>
    <row r="146" spans="1:10" x14ac:dyDescent="0.2">
      <c r="A146" s="10" t="s">
        <v>812</v>
      </c>
      <c r="B146" s="11" t="s">
        <v>364</v>
      </c>
      <c r="C146" s="207">
        <v>9919.2970000000005</v>
      </c>
      <c r="D146" s="207">
        <v>5122.2150000000001</v>
      </c>
      <c r="E146" s="207">
        <v>200.01300000000001</v>
      </c>
      <c r="H146" s="25" t="s">
        <v>587</v>
      </c>
      <c r="I146" s="206">
        <v>288414.848</v>
      </c>
      <c r="J146" s="206">
        <v>6216365.8700000001</v>
      </c>
    </row>
    <row r="147" spans="1:10" x14ac:dyDescent="0.2">
      <c r="A147" s="10" t="s">
        <v>813</v>
      </c>
      <c r="B147" s="11" t="s">
        <v>364</v>
      </c>
      <c r="C147" s="207">
        <v>9919.2919999999995</v>
      </c>
      <c r="D147" s="207">
        <v>5122.2120000000004</v>
      </c>
      <c r="E147" s="207">
        <v>200.01300000000001</v>
      </c>
    </row>
    <row r="148" spans="1:10" x14ac:dyDescent="0.2">
      <c r="A148" s="10" t="s">
        <v>814</v>
      </c>
      <c r="B148" s="11" t="s">
        <v>364</v>
      </c>
      <c r="C148" s="207">
        <v>9919.2939999999999</v>
      </c>
      <c r="D148" s="207">
        <v>5122.2139999999999</v>
      </c>
      <c r="E148" s="207">
        <v>200.00800000000001</v>
      </c>
    </row>
    <row r="149" spans="1:10" x14ac:dyDescent="0.2">
      <c r="A149" s="10" t="s">
        <v>815</v>
      </c>
      <c r="B149" s="11" t="s">
        <v>364</v>
      </c>
      <c r="C149" s="207">
        <v>9919.2980000000007</v>
      </c>
      <c r="D149" s="207">
        <v>5122.2160000000003</v>
      </c>
      <c r="E149" s="207">
        <v>200.01499999999999</v>
      </c>
    </row>
    <row r="150" spans="1:10" x14ac:dyDescent="0.2">
      <c r="A150" s="10"/>
      <c r="B150" s="11" t="s">
        <v>364</v>
      </c>
      <c r="C150" s="207"/>
      <c r="D150" s="207"/>
      <c r="E150" s="207"/>
    </row>
    <row r="151" spans="1:10" x14ac:dyDescent="0.2">
      <c r="A151" s="10" t="s">
        <v>816</v>
      </c>
      <c r="B151" s="11" t="s">
        <v>770</v>
      </c>
      <c r="C151" s="207">
        <v>9995.3870000000006</v>
      </c>
      <c r="D151" s="207">
        <v>5002.5569999999998</v>
      </c>
      <c r="E151" s="207">
        <v>200.10900000000001</v>
      </c>
    </row>
    <row r="152" spans="1:10" x14ac:dyDescent="0.2">
      <c r="A152" s="10" t="s">
        <v>817</v>
      </c>
      <c r="B152" s="11" t="s">
        <v>770</v>
      </c>
      <c r="C152" s="207">
        <v>9995.39</v>
      </c>
      <c r="D152" s="207">
        <v>5002.558</v>
      </c>
      <c r="E152" s="207">
        <v>200.10300000000001</v>
      </c>
    </row>
    <row r="153" spans="1:10" x14ac:dyDescent="0.2">
      <c r="A153" s="10" t="s">
        <v>144</v>
      </c>
      <c r="B153" s="11" t="s">
        <v>64</v>
      </c>
      <c r="C153" s="207">
        <v>9820.9500000000007</v>
      </c>
      <c r="D153" s="207">
        <v>5174.308</v>
      </c>
      <c r="E153" s="207">
        <v>193.249</v>
      </c>
    </row>
    <row r="154" spans="1:10" x14ac:dyDescent="0.2">
      <c r="A154" s="10" t="s">
        <v>145</v>
      </c>
      <c r="B154" s="11" t="s">
        <v>64</v>
      </c>
      <c r="C154" s="207">
        <v>9820.9509999999991</v>
      </c>
      <c r="D154" s="207">
        <v>5174.3090000000002</v>
      </c>
      <c r="E154" s="207">
        <v>193.25</v>
      </c>
    </row>
    <row r="155" spans="1:10" x14ac:dyDescent="0.2">
      <c r="A155" s="10" t="s">
        <v>146</v>
      </c>
      <c r="B155" s="11" t="s">
        <v>64</v>
      </c>
      <c r="C155" s="207">
        <v>9820.9509999999991</v>
      </c>
      <c r="D155" s="207">
        <v>5174.3100000000004</v>
      </c>
      <c r="E155" s="207">
        <v>193.24799999999999</v>
      </c>
    </row>
    <row r="156" spans="1:10" x14ac:dyDescent="0.2">
      <c r="A156" s="10" t="s">
        <v>147</v>
      </c>
      <c r="B156" s="11" t="s">
        <v>64</v>
      </c>
      <c r="C156" s="207">
        <v>9820.9500000000007</v>
      </c>
      <c r="D156" s="207">
        <v>5174.3069999999998</v>
      </c>
      <c r="E156" s="207">
        <v>193.25</v>
      </c>
    </row>
    <row r="157" spans="1:10" x14ac:dyDescent="0.2">
      <c r="A157" s="10" t="s">
        <v>148</v>
      </c>
      <c r="B157" s="11" t="s">
        <v>65</v>
      </c>
      <c r="C157" s="207">
        <v>9839.0910000000003</v>
      </c>
      <c r="D157" s="207">
        <v>5169.7969999999996</v>
      </c>
      <c r="E157" s="207">
        <v>192.94800000000001</v>
      </c>
    </row>
    <row r="158" spans="1:10" x14ac:dyDescent="0.2">
      <c r="A158" s="10" t="s">
        <v>149</v>
      </c>
      <c r="B158" s="11" t="s">
        <v>65</v>
      </c>
      <c r="C158" s="207">
        <v>9839.0920000000006</v>
      </c>
      <c r="D158" s="207">
        <v>5169.7969999999996</v>
      </c>
      <c r="E158" s="207">
        <v>192.94800000000001</v>
      </c>
    </row>
    <row r="159" spans="1:10" x14ac:dyDescent="0.2">
      <c r="A159" s="10" t="s">
        <v>150</v>
      </c>
      <c r="B159" s="11" t="s">
        <v>66</v>
      </c>
      <c r="C159" s="207">
        <v>9858.232</v>
      </c>
      <c r="D159" s="207">
        <v>5162.5770000000002</v>
      </c>
      <c r="E159" s="207">
        <v>193.59299999999999</v>
      </c>
    </row>
    <row r="160" spans="1:10" x14ac:dyDescent="0.2">
      <c r="A160" s="10" t="s">
        <v>151</v>
      </c>
      <c r="B160" s="11" t="s">
        <v>66</v>
      </c>
      <c r="C160" s="207">
        <v>9858.2309999999998</v>
      </c>
      <c r="D160" s="207">
        <v>5162.5770000000002</v>
      </c>
      <c r="E160" s="207">
        <v>193.59299999999999</v>
      </c>
    </row>
    <row r="161" spans="1:5" x14ac:dyDescent="0.2">
      <c r="A161" s="10" t="s">
        <v>152</v>
      </c>
      <c r="B161" s="11" t="s">
        <v>67</v>
      </c>
      <c r="C161" s="207">
        <v>9876.5949999999993</v>
      </c>
      <c r="D161" s="207">
        <v>5154.8500000000004</v>
      </c>
      <c r="E161" s="207">
        <v>195.28399999999999</v>
      </c>
    </row>
    <row r="162" spans="1:5" x14ac:dyDescent="0.2">
      <c r="A162" s="10" t="s">
        <v>153</v>
      </c>
      <c r="B162" s="11" t="s">
        <v>67</v>
      </c>
      <c r="C162" s="207">
        <v>9876.5949999999993</v>
      </c>
      <c r="D162" s="207">
        <v>5154.8500000000004</v>
      </c>
      <c r="E162" s="207">
        <v>195.28399999999999</v>
      </c>
    </row>
    <row r="163" spans="1:5" x14ac:dyDescent="0.2">
      <c r="A163" s="10" t="s">
        <v>154</v>
      </c>
      <c r="B163" s="11" t="s">
        <v>68</v>
      </c>
      <c r="C163" s="207">
        <v>9892.6239999999998</v>
      </c>
      <c r="D163" s="207">
        <v>5146.2960000000003</v>
      </c>
      <c r="E163" s="207">
        <v>196.38200000000001</v>
      </c>
    </row>
    <row r="164" spans="1:5" x14ac:dyDescent="0.2">
      <c r="A164" s="10" t="s">
        <v>155</v>
      </c>
      <c r="B164" s="11" t="s">
        <v>68</v>
      </c>
      <c r="C164" s="207">
        <v>9892.6239999999998</v>
      </c>
      <c r="D164" s="207">
        <v>5146.2960000000003</v>
      </c>
      <c r="E164" s="207">
        <v>196.38</v>
      </c>
    </row>
    <row r="165" spans="1:5" x14ac:dyDescent="0.2">
      <c r="A165" s="10" t="s">
        <v>156</v>
      </c>
      <c r="B165" s="11" t="s">
        <v>69</v>
      </c>
      <c r="C165" s="207">
        <v>9909.9989999999998</v>
      </c>
      <c r="D165" s="207">
        <v>5136.28</v>
      </c>
      <c r="E165" s="207">
        <v>197.47</v>
      </c>
    </row>
    <row r="166" spans="1:5" x14ac:dyDescent="0.2">
      <c r="A166" s="10" t="s">
        <v>157</v>
      </c>
      <c r="B166" s="11" t="s">
        <v>69</v>
      </c>
      <c r="C166" s="207">
        <v>9909.9989999999998</v>
      </c>
      <c r="D166" s="207">
        <v>5136.28</v>
      </c>
      <c r="E166" s="207">
        <v>197.471</v>
      </c>
    </row>
    <row r="167" spans="1:5" x14ac:dyDescent="0.2">
      <c r="A167" s="10" t="s">
        <v>158</v>
      </c>
      <c r="B167" s="11" t="s">
        <v>70</v>
      </c>
      <c r="C167" s="207">
        <v>9927.6859999999997</v>
      </c>
      <c r="D167" s="207">
        <v>5126.3069999999998</v>
      </c>
      <c r="E167" s="207">
        <v>198.922</v>
      </c>
    </row>
    <row r="168" spans="1:5" x14ac:dyDescent="0.2">
      <c r="A168" s="10" t="s">
        <v>159</v>
      </c>
      <c r="B168" s="11" t="s">
        <v>70</v>
      </c>
      <c r="C168" s="207">
        <v>9927.6869999999999</v>
      </c>
      <c r="D168" s="207">
        <v>5126.308</v>
      </c>
      <c r="E168" s="207">
        <v>198.922</v>
      </c>
    </row>
    <row r="169" spans="1:5" x14ac:dyDescent="0.2">
      <c r="A169" s="10" t="s">
        <v>160</v>
      </c>
      <c r="B169" s="11" t="s">
        <v>71</v>
      </c>
      <c r="C169" s="207">
        <v>9945.74</v>
      </c>
      <c r="D169" s="207">
        <v>5115.3010000000004</v>
      </c>
      <c r="E169" s="207">
        <v>200.00399999999999</v>
      </c>
    </row>
    <row r="170" spans="1:5" x14ac:dyDescent="0.2">
      <c r="A170" s="10" t="s">
        <v>161</v>
      </c>
      <c r="B170" s="11" t="s">
        <v>71</v>
      </c>
      <c r="C170" s="207">
        <v>9945.74</v>
      </c>
      <c r="D170" s="207">
        <v>5115.3010000000004</v>
      </c>
      <c r="E170" s="207">
        <v>200.005</v>
      </c>
    </row>
    <row r="171" spans="1:5" x14ac:dyDescent="0.2">
      <c r="A171" s="10" t="s">
        <v>162</v>
      </c>
      <c r="B171" s="11" t="s">
        <v>72</v>
      </c>
      <c r="C171" s="207">
        <v>9961.9789999999994</v>
      </c>
      <c r="D171" s="207">
        <v>5103.7629999999999</v>
      </c>
      <c r="E171" s="207">
        <v>200.18299999999999</v>
      </c>
    </row>
    <row r="172" spans="1:5" x14ac:dyDescent="0.2">
      <c r="A172" s="10" t="s">
        <v>163</v>
      </c>
      <c r="B172" s="11" t="s">
        <v>72</v>
      </c>
      <c r="C172" s="207">
        <v>9961.9789999999994</v>
      </c>
      <c r="D172" s="207">
        <v>5103.7629999999999</v>
      </c>
      <c r="E172" s="207">
        <v>200.18299999999999</v>
      </c>
    </row>
    <row r="173" spans="1:5" x14ac:dyDescent="0.2">
      <c r="A173" s="10" t="s">
        <v>164</v>
      </c>
      <c r="B173" s="11" t="s">
        <v>73</v>
      </c>
      <c r="C173" s="207">
        <v>9977.9230000000007</v>
      </c>
      <c r="D173" s="207">
        <v>5092.3</v>
      </c>
      <c r="E173" s="207">
        <v>200.44300000000001</v>
      </c>
    </row>
    <row r="174" spans="1:5" x14ac:dyDescent="0.2">
      <c r="A174" s="10" t="s">
        <v>165</v>
      </c>
      <c r="B174" s="11" t="s">
        <v>73</v>
      </c>
      <c r="C174" s="207">
        <v>9977.9230000000007</v>
      </c>
      <c r="D174" s="207">
        <v>5092.299</v>
      </c>
      <c r="E174" s="207">
        <v>200.44200000000001</v>
      </c>
    </row>
    <row r="175" spans="1:5" x14ac:dyDescent="0.2">
      <c r="A175" s="10" t="s">
        <v>166</v>
      </c>
      <c r="B175" s="11" t="s">
        <v>74</v>
      </c>
      <c r="C175" s="207">
        <v>9994.52</v>
      </c>
      <c r="D175" s="207">
        <v>5080.2579999999998</v>
      </c>
      <c r="E175" s="207">
        <v>200.57400000000001</v>
      </c>
    </row>
    <row r="176" spans="1:5" x14ac:dyDescent="0.2">
      <c r="A176" s="10" t="s">
        <v>167</v>
      </c>
      <c r="B176" s="11" t="s">
        <v>74</v>
      </c>
      <c r="C176" s="207">
        <v>9994.52</v>
      </c>
      <c r="D176" s="207">
        <v>5080.259</v>
      </c>
      <c r="E176" s="207">
        <v>200.57599999999999</v>
      </c>
    </row>
    <row r="177" spans="1:5" x14ac:dyDescent="0.2">
      <c r="A177" s="10" t="s">
        <v>168</v>
      </c>
      <c r="B177" s="11" t="s">
        <v>75</v>
      </c>
      <c r="C177" s="207">
        <v>10011.450000000001</v>
      </c>
      <c r="D177" s="207">
        <v>5068.3689999999997</v>
      </c>
      <c r="E177" s="207">
        <v>200.70500000000001</v>
      </c>
    </row>
    <row r="178" spans="1:5" x14ac:dyDescent="0.2">
      <c r="A178" s="10" t="s">
        <v>169</v>
      </c>
      <c r="B178" s="11" t="s">
        <v>75</v>
      </c>
      <c r="C178" s="207">
        <v>10011.449000000001</v>
      </c>
      <c r="D178" s="207">
        <v>5068.3680000000004</v>
      </c>
      <c r="E178" s="207">
        <v>200.703</v>
      </c>
    </row>
    <row r="179" spans="1:5" x14ac:dyDescent="0.2">
      <c r="A179" s="10" t="s">
        <v>170</v>
      </c>
      <c r="B179" s="11" t="s">
        <v>75</v>
      </c>
      <c r="C179" s="207">
        <v>10011.449000000001</v>
      </c>
      <c r="D179" s="207">
        <v>5068.3680000000004</v>
      </c>
      <c r="E179" s="207">
        <v>200.702</v>
      </c>
    </row>
    <row r="180" spans="1:5" x14ac:dyDescent="0.2">
      <c r="A180" s="10" t="s">
        <v>171</v>
      </c>
      <c r="B180" s="11" t="s">
        <v>75</v>
      </c>
      <c r="C180" s="207">
        <v>10011.450000000001</v>
      </c>
      <c r="D180" s="207">
        <v>5068.37</v>
      </c>
      <c r="E180" s="207">
        <v>200.709</v>
      </c>
    </row>
    <row r="181" spans="1:5" x14ac:dyDescent="0.2">
      <c r="A181" s="10"/>
      <c r="B181" s="11" t="s">
        <v>770</v>
      </c>
      <c r="C181" s="207"/>
      <c r="D181" s="207"/>
      <c r="E181" s="207"/>
    </row>
    <row r="182" spans="1:5" x14ac:dyDescent="0.2">
      <c r="A182" s="10" t="s">
        <v>818</v>
      </c>
      <c r="B182" s="11" t="s">
        <v>364</v>
      </c>
      <c r="C182" s="207">
        <v>9919.2970000000005</v>
      </c>
      <c r="D182" s="207">
        <v>5122.2150000000001</v>
      </c>
      <c r="E182" s="207">
        <v>199.994</v>
      </c>
    </row>
    <row r="183" spans="1:5" x14ac:dyDescent="0.2">
      <c r="A183" s="10" t="s">
        <v>819</v>
      </c>
      <c r="B183" s="11" t="s">
        <v>364</v>
      </c>
      <c r="C183" s="207">
        <v>9919.2939999999999</v>
      </c>
      <c r="D183" s="207">
        <v>5122.2139999999999</v>
      </c>
      <c r="E183" s="207">
        <v>200</v>
      </c>
    </row>
    <row r="184" spans="1:5" x14ac:dyDescent="0.2">
      <c r="A184" s="10" t="s">
        <v>820</v>
      </c>
      <c r="B184" s="11" t="s">
        <v>463</v>
      </c>
      <c r="C184" s="207">
        <v>10089.152</v>
      </c>
      <c r="D184" s="207">
        <v>5007.5320000000002</v>
      </c>
      <c r="E184" s="207">
        <v>201.37299999999999</v>
      </c>
    </row>
    <row r="185" spans="1:5" x14ac:dyDescent="0.2">
      <c r="A185" s="10" t="s">
        <v>821</v>
      </c>
      <c r="B185" s="11" t="s">
        <v>463</v>
      </c>
      <c r="C185" s="207">
        <v>10089.152</v>
      </c>
      <c r="D185" s="207">
        <v>5007.5309999999999</v>
      </c>
      <c r="E185" s="207">
        <v>201.375</v>
      </c>
    </row>
    <row r="186" spans="1:5" x14ac:dyDescent="0.2">
      <c r="A186" s="10"/>
      <c r="B186" s="11" t="s">
        <v>463</v>
      </c>
      <c r="C186" s="207"/>
      <c r="D186" s="207"/>
      <c r="E186" s="207"/>
    </row>
    <row r="187" spans="1:5" x14ac:dyDescent="0.2">
      <c r="A187" s="10" t="s">
        <v>822</v>
      </c>
      <c r="B187" s="11" t="s">
        <v>770</v>
      </c>
      <c r="C187" s="207">
        <v>9995.3870000000006</v>
      </c>
      <c r="D187" s="207">
        <v>5002.5569999999998</v>
      </c>
      <c r="E187" s="207">
        <v>200.101</v>
      </c>
    </row>
    <row r="188" spans="1:5" x14ac:dyDescent="0.2">
      <c r="A188" s="10" t="s">
        <v>823</v>
      </c>
      <c r="B188" s="11" t="s">
        <v>770</v>
      </c>
      <c r="C188" s="207">
        <v>9995.3870000000006</v>
      </c>
      <c r="D188" s="207">
        <v>5002.5559999999996</v>
      </c>
      <c r="E188" s="207">
        <v>200.101</v>
      </c>
    </row>
    <row r="189" spans="1:5" x14ac:dyDescent="0.2">
      <c r="A189" s="10" t="s">
        <v>172</v>
      </c>
      <c r="B189" s="11" t="s">
        <v>75</v>
      </c>
      <c r="C189" s="207">
        <v>10011.449000000001</v>
      </c>
      <c r="D189" s="207">
        <v>5068.3689999999997</v>
      </c>
      <c r="E189" s="207">
        <v>200.69</v>
      </c>
    </row>
    <row r="190" spans="1:5" x14ac:dyDescent="0.2">
      <c r="A190" s="10" t="s">
        <v>173</v>
      </c>
      <c r="B190" s="11" t="s">
        <v>75</v>
      </c>
      <c r="C190" s="207">
        <v>10011.450999999999</v>
      </c>
      <c r="D190" s="207">
        <v>5068.3720000000003</v>
      </c>
      <c r="E190" s="207">
        <v>200.691</v>
      </c>
    </row>
    <row r="191" spans="1:5" x14ac:dyDescent="0.2">
      <c r="A191" s="10" t="s">
        <v>174</v>
      </c>
      <c r="B191" s="11" t="s">
        <v>75</v>
      </c>
      <c r="C191" s="207">
        <v>10011.449000000001</v>
      </c>
      <c r="D191" s="207">
        <v>5068.3689999999997</v>
      </c>
      <c r="E191" s="207">
        <v>200.691</v>
      </c>
    </row>
    <row r="192" spans="1:5" x14ac:dyDescent="0.2">
      <c r="A192" s="10" t="s">
        <v>175</v>
      </c>
      <c r="B192" s="11" t="s">
        <v>75</v>
      </c>
      <c r="C192" s="207">
        <v>10011.450000000001</v>
      </c>
      <c r="D192" s="207">
        <v>5068.3710000000001</v>
      </c>
      <c r="E192" s="207">
        <v>200.69</v>
      </c>
    </row>
    <row r="193" spans="1:5" x14ac:dyDescent="0.2">
      <c r="A193" s="10" t="s">
        <v>176</v>
      </c>
      <c r="B193" s="11" t="s">
        <v>76</v>
      </c>
      <c r="C193" s="207">
        <v>10027.143</v>
      </c>
      <c r="D193" s="207">
        <v>5058.0209999999997</v>
      </c>
      <c r="E193" s="207">
        <v>201.077</v>
      </c>
    </row>
    <row r="194" spans="1:5" x14ac:dyDescent="0.2">
      <c r="A194" s="10" t="s">
        <v>177</v>
      </c>
      <c r="B194" s="11" t="s">
        <v>76</v>
      </c>
      <c r="C194" s="207">
        <v>10027.144</v>
      </c>
      <c r="D194" s="207">
        <v>5058.0219999999999</v>
      </c>
      <c r="E194" s="207">
        <v>201.07599999999999</v>
      </c>
    </row>
    <row r="195" spans="1:5" x14ac:dyDescent="0.2">
      <c r="A195" s="10" t="s">
        <v>178</v>
      </c>
      <c r="B195" s="11" t="s">
        <v>77</v>
      </c>
      <c r="C195" s="207">
        <v>10044.197</v>
      </c>
      <c r="D195" s="207">
        <v>5045.1790000000001</v>
      </c>
      <c r="E195" s="207">
        <v>201.18700000000001</v>
      </c>
    </row>
    <row r="196" spans="1:5" x14ac:dyDescent="0.2">
      <c r="A196" s="10" t="s">
        <v>179</v>
      </c>
      <c r="B196" s="11" t="s">
        <v>77</v>
      </c>
      <c r="C196" s="207">
        <v>10044.198</v>
      </c>
      <c r="D196" s="207">
        <v>5045.18</v>
      </c>
      <c r="E196" s="207">
        <v>201.18899999999999</v>
      </c>
    </row>
    <row r="197" spans="1:5" x14ac:dyDescent="0.2">
      <c r="A197" s="10" t="s">
        <v>180</v>
      </c>
      <c r="B197" s="11" t="s">
        <v>78</v>
      </c>
      <c r="C197" s="207">
        <v>10059.034</v>
      </c>
      <c r="D197" s="207">
        <v>5035.2960000000003</v>
      </c>
      <c r="E197" s="207">
        <v>201.01</v>
      </c>
    </row>
    <row r="198" spans="1:5" x14ac:dyDescent="0.2">
      <c r="A198" s="10" t="s">
        <v>181</v>
      </c>
      <c r="B198" s="11" t="s">
        <v>78</v>
      </c>
      <c r="C198" s="207">
        <v>10059.034</v>
      </c>
      <c r="D198" s="207">
        <v>5035.2969999999996</v>
      </c>
      <c r="E198" s="207">
        <v>201.011</v>
      </c>
    </row>
    <row r="199" spans="1:5" x14ac:dyDescent="0.2">
      <c r="A199" s="10" t="s">
        <v>182</v>
      </c>
      <c r="B199" s="11" t="s">
        <v>79</v>
      </c>
      <c r="C199" s="207">
        <v>10076.936</v>
      </c>
      <c r="D199" s="207">
        <v>5023.723</v>
      </c>
      <c r="E199" s="207">
        <v>200.62299999999999</v>
      </c>
    </row>
    <row r="200" spans="1:5" x14ac:dyDescent="0.2">
      <c r="A200" s="10" t="s">
        <v>183</v>
      </c>
      <c r="B200" s="11" t="s">
        <v>79</v>
      </c>
      <c r="C200" s="207">
        <v>10076.936</v>
      </c>
      <c r="D200" s="207">
        <v>5023.723</v>
      </c>
      <c r="E200" s="207">
        <v>200.62299999999999</v>
      </c>
    </row>
    <row r="201" spans="1:5" x14ac:dyDescent="0.2">
      <c r="A201" s="10" t="s">
        <v>184</v>
      </c>
      <c r="B201" s="11" t="s">
        <v>80</v>
      </c>
      <c r="C201" s="207">
        <v>10092.966</v>
      </c>
      <c r="D201" s="207">
        <v>5015.25</v>
      </c>
      <c r="E201" s="207">
        <v>200.31800000000001</v>
      </c>
    </row>
    <row r="202" spans="1:5" x14ac:dyDescent="0.2">
      <c r="A202" s="10" t="s">
        <v>185</v>
      </c>
      <c r="B202" s="11" t="s">
        <v>80</v>
      </c>
      <c r="C202" s="207">
        <v>10092.966</v>
      </c>
      <c r="D202" s="207">
        <v>5015.25</v>
      </c>
      <c r="E202" s="207">
        <v>200.31800000000001</v>
      </c>
    </row>
    <row r="203" spans="1:5" x14ac:dyDescent="0.2">
      <c r="A203" s="10" t="s">
        <v>186</v>
      </c>
      <c r="B203" s="11" t="s">
        <v>81</v>
      </c>
      <c r="C203" s="207">
        <v>10112.696</v>
      </c>
      <c r="D203" s="207">
        <v>5008.09</v>
      </c>
      <c r="E203" s="207">
        <v>200.25899999999999</v>
      </c>
    </row>
    <row r="204" spans="1:5" x14ac:dyDescent="0.2">
      <c r="A204" s="10" t="s">
        <v>187</v>
      </c>
      <c r="B204" s="11" t="s">
        <v>81</v>
      </c>
      <c r="C204" s="207">
        <v>10112.696</v>
      </c>
      <c r="D204" s="207">
        <v>5008.0910000000003</v>
      </c>
      <c r="E204" s="207">
        <v>200.26</v>
      </c>
    </row>
    <row r="205" spans="1:5" x14ac:dyDescent="0.2">
      <c r="A205" s="10" t="s">
        <v>188</v>
      </c>
      <c r="B205" s="11" t="s">
        <v>82</v>
      </c>
      <c r="C205" s="207">
        <v>10132.388000000001</v>
      </c>
      <c r="D205" s="207">
        <v>5001.0370000000003</v>
      </c>
      <c r="E205" s="207">
        <v>200.328</v>
      </c>
    </row>
    <row r="206" spans="1:5" x14ac:dyDescent="0.2">
      <c r="A206" s="10" t="s">
        <v>189</v>
      </c>
      <c r="B206" s="11" t="s">
        <v>82</v>
      </c>
      <c r="C206" s="207">
        <v>10132.387000000001</v>
      </c>
      <c r="D206" s="207">
        <v>5001.0360000000001</v>
      </c>
      <c r="E206" s="207">
        <v>200.327</v>
      </c>
    </row>
    <row r="207" spans="1:5" x14ac:dyDescent="0.2">
      <c r="A207" s="10" t="s">
        <v>190</v>
      </c>
      <c r="B207" s="11" t="s">
        <v>83</v>
      </c>
      <c r="C207" s="207">
        <v>10149.913</v>
      </c>
      <c r="D207" s="207">
        <v>4994.8100000000004</v>
      </c>
      <c r="E207" s="207">
        <v>200.85</v>
      </c>
    </row>
    <row r="208" spans="1:5" x14ac:dyDescent="0.2">
      <c r="A208" s="10" t="s">
        <v>191</v>
      </c>
      <c r="B208" s="11" t="s">
        <v>83</v>
      </c>
      <c r="C208" s="207">
        <v>10149.913</v>
      </c>
      <c r="D208" s="207">
        <v>4994.8130000000001</v>
      </c>
      <c r="E208" s="207">
        <v>200.852</v>
      </c>
    </row>
    <row r="209" spans="1:5" x14ac:dyDescent="0.2">
      <c r="A209" s="10" t="s">
        <v>192</v>
      </c>
      <c r="B209" s="11" t="s">
        <v>84</v>
      </c>
      <c r="C209" s="207">
        <v>10170.214</v>
      </c>
      <c r="D209" s="207">
        <v>4987.5659999999998</v>
      </c>
      <c r="E209" s="207">
        <v>200.95400000000001</v>
      </c>
    </row>
    <row r="210" spans="1:5" x14ac:dyDescent="0.2">
      <c r="A210" s="10" t="s">
        <v>193</v>
      </c>
      <c r="B210" s="11" t="s">
        <v>84</v>
      </c>
      <c r="C210" s="207">
        <v>10170.214</v>
      </c>
      <c r="D210" s="207">
        <v>4987.5659999999998</v>
      </c>
      <c r="E210" s="207">
        <v>200.953</v>
      </c>
    </row>
    <row r="211" spans="1:5" x14ac:dyDescent="0.2">
      <c r="A211" s="10" t="s">
        <v>194</v>
      </c>
      <c r="B211" s="11" t="s">
        <v>85</v>
      </c>
      <c r="C211" s="207">
        <v>10187.258</v>
      </c>
      <c r="D211" s="207">
        <v>4981.2979999999998</v>
      </c>
      <c r="E211" s="207">
        <v>201.03299999999999</v>
      </c>
    </row>
    <row r="212" spans="1:5" x14ac:dyDescent="0.2">
      <c r="A212" s="10" t="s">
        <v>195</v>
      </c>
      <c r="B212" s="11" t="s">
        <v>85</v>
      </c>
      <c r="C212" s="207">
        <v>10187.259</v>
      </c>
      <c r="D212" s="207">
        <v>4981.299</v>
      </c>
      <c r="E212" s="207">
        <v>201.03800000000001</v>
      </c>
    </row>
    <row r="213" spans="1:5" x14ac:dyDescent="0.2">
      <c r="A213" s="10" t="s">
        <v>196</v>
      </c>
      <c r="B213" s="11" t="s">
        <v>85</v>
      </c>
      <c r="C213" s="207">
        <v>10187.259</v>
      </c>
      <c r="D213" s="207">
        <v>4981.3010000000004</v>
      </c>
      <c r="E213" s="207">
        <v>201.04</v>
      </c>
    </row>
    <row r="214" spans="1:5" x14ac:dyDescent="0.2">
      <c r="A214" s="10" t="s">
        <v>197</v>
      </c>
      <c r="B214" s="11" t="s">
        <v>85</v>
      </c>
      <c r="C214" s="207">
        <v>10187.258</v>
      </c>
      <c r="D214" s="207">
        <v>4981.2969999999996</v>
      </c>
      <c r="E214" s="207">
        <v>201.03399999999999</v>
      </c>
    </row>
    <row r="215" spans="1:5" x14ac:dyDescent="0.2">
      <c r="A215" s="10" t="s">
        <v>824</v>
      </c>
      <c r="B215" s="11" t="s">
        <v>464</v>
      </c>
      <c r="C215" s="207">
        <v>10280.591</v>
      </c>
      <c r="D215" s="207">
        <v>4941.643</v>
      </c>
      <c r="E215" s="207">
        <v>204.54</v>
      </c>
    </row>
    <row r="216" spans="1:5" x14ac:dyDescent="0.2">
      <c r="A216" s="10" t="s">
        <v>825</v>
      </c>
      <c r="B216" s="11" t="s">
        <v>464</v>
      </c>
      <c r="C216" s="207">
        <v>10280.589</v>
      </c>
      <c r="D216" s="207">
        <v>4941.6360000000004</v>
      </c>
      <c r="E216" s="207">
        <v>204.54</v>
      </c>
    </row>
    <row r="217" spans="1:5" x14ac:dyDescent="0.2">
      <c r="A217" s="10"/>
      <c r="B217" s="11" t="s">
        <v>464</v>
      </c>
      <c r="C217" s="207"/>
      <c r="D217" s="207"/>
      <c r="E217" s="207"/>
    </row>
    <row r="218" spans="1:5" x14ac:dyDescent="0.2">
      <c r="A218" s="10" t="s">
        <v>198</v>
      </c>
      <c r="B218" s="11" t="s">
        <v>85</v>
      </c>
      <c r="C218" s="207">
        <v>10187.257</v>
      </c>
      <c r="D218" s="207">
        <v>4981.2920000000004</v>
      </c>
      <c r="E218" s="207">
        <v>201.024</v>
      </c>
    </row>
    <row r="219" spans="1:5" x14ac:dyDescent="0.2">
      <c r="A219" s="10" t="s">
        <v>199</v>
      </c>
      <c r="B219" s="11" t="s">
        <v>85</v>
      </c>
      <c r="C219" s="207">
        <v>10187.254999999999</v>
      </c>
      <c r="D219" s="207">
        <v>4981.29</v>
      </c>
      <c r="E219" s="207">
        <v>201.02699999999999</v>
      </c>
    </row>
    <row r="220" spans="1:5" x14ac:dyDescent="0.2">
      <c r="A220" s="10" t="s">
        <v>200</v>
      </c>
      <c r="B220" s="11" t="s">
        <v>85</v>
      </c>
      <c r="C220" s="207">
        <v>10187.255999999999</v>
      </c>
      <c r="D220" s="207">
        <v>4981.2910000000002</v>
      </c>
      <c r="E220" s="207">
        <v>201.02699999999999</v>
      </c>
    </row>
    <row r="221" spans="1:5" x14ac:dyDescent="0.2">
      <c r="A221" s="10" t="s">
        <v>201</v>
      </c>
      <c r="B221" s="11" t="s">
        <v>85</v>
      </c>
      <c r="C221" s="207">
        <v>10187.257</v>
      </c>
      <c r="D221" s="207">
        <v>4981.2929999999997</v>
      </c>
      <c r="E221" s="207">
        <v>201.02500000000001</v>
      </c>
    </row>
    <row r="222" spans="1:5" x14ac:dyDescent="0.2">
      <c r="A222" s="10" t="s">
        <v>202</v>
      </c>
      <c r="B222" s="11" t="s">
        <v>86</v>
      </c>
      <c r="C222" s="207">
        <v>10207.151</v>
      </c>
      <c r="D222" s="207">
        <v>4974.3220000000001</v>
      </c>
      <c r="E222" s="207">
        <v>201.15600000000001</v>
      </c>
    </row>
    <row r="223" spans="1:5" x14ac:dyDescent="0.2">
      <c r="A223" s="10" t="s">
        <v>203</v>
      </c>
      <c r="B223" s="11" t="s">
        <v>86</v>
      </c>
      <c r="C223" s="207">
        <v>10207.15</v>
      </c>
      <c r="D223" s="207">
        <v>4974.32</v>
      </c>
      <c r="E223" s="207">
        <v>201.15799999999999</v>
      </c>
    </row>
    <row r="224" spans="1:5" x14ac:dyDescent="0.2">
      <c r="A224" s="10" t="s">
        <v>204</v>
      </c>
      <c r="B224" s="11" t="s">
        <v>87</v>
      </c>
      <c r="C224" s="207">
        <v>10232.293</v>
      </c>
      <c r="D224" s="207">
        <v>4966.3810000000003</v>
      </c>
      <c r="E224" s="207">
        <v>201.58500000000001</v>
      </c>
    </row>
    <row r="225" spans="1:7" x14ac:dyDescent="0.2">
      <c r="A225" s="10" t="s">
        <v>205</v>
      </c>
      <c r="B225" s="11" t="s">
        <v>87</v>
      </c>
      <c r="C225" s="207">
        <v>10232.293</v>
      </c>
      <c r="D225" s="207">
        <v>4966.3810000000003</v>
      </c>
      <c r="E225" s="207">
        <v>201.58500000000001</v>
      </c>
      <c r="G225" s="33"/>
    </row>
    <row r="226" spans="1:7" x14ac:dyDescent="0.2">
      <c r="A226" s="10" t="s">
        <v>206</v>
      </c>
      <c r="B226" s="11" t="s">
        <v>88</v>
      </c>
      <c r="C226" s="207">
        <v>10246.522000000001</v>
      </c>
      <c r="D226" s="207">
        <v>4961.4459999999999</v>
      </c>
      <c r="E226" s="207">
        <v>202.01</v>
      </c>
      <c r="G226" s="33"/>
    </row>
    <row r="227" spans="1:7" x14ac:dyDescent="0.2">
      <c r="A227" s="10" t="s">
        <v>207</v>
      </c>
      <c r="B227" s="11" t="s">
        <v>88</v>
      </c>
      <c r="C227" s="207">
        <v>10246.521000000001</v>
      </c>
      <c r="D227" s="207">
        <v>4961.4449999999997</v>
      </c>
      <c r="E227" s="207">
        <v>202.01</v>
      </c>
      <c r="G227" s="33"/>
    </row>
    <row r="228" spans="1:7" x14ac:dyDescent="0.2">
      <c r="A228" s="10" t="s">
        <v>208</v>
      </c>
      <c r="B228" s="11" t="s">
        <v>89</v>
      </c>
      <c r="C228" s="207">
        <v>10263.272000000001</v>
      </c>
      <c r="D228" s="207">
        <v>4955.3950000000004</v>
      </c>
      <c r="E228" s="207">
        <v>202.446</v>
      </c>
    </row>
    <row r="229" spans="1:7" x14ac:dyDescent="0.2">
      <c r="A229" s="10" t="s">
        <v>209</v>
      </c>
      <c r="B229" s="11" t="s">
        <v>89</v>
      </c>
      <c r="C229" s="207">
        <v>10263.272000000001</v>
      </c>
      <c r="D229" s="207">
        <v>4955.3950000000004</v>
      </c>
      <c r="E229" s="207">
        <v>202.446</v>
      </c>
    </row>
    <row r="230" spans="1:7" x14ac:dyDescent="0.2">
      <c r="A230" s="10" t="s">
        <v>210</v>
      </c>
      <c r="B230" s="11" t="s">
        <v>90</v>
      </c>
      <c r="C230" s="207">
        <v>10283.055</v>
      </c>
      <c r="D230" s="207">
        <v>4948.232</v>
      </c>
      <c r="E230" s="207">
        <v>202.95699999999999</v>
      </c>
      <c r="G230" s="33"/>
    </row>
    <row r="231" spans="1:7" x14ac:dyDescent="0.2">
      <c r="A231" s="10" t="s">
        <v>211</v>
      </c>
      <c r="B231" s="11" t="s">
        <v>90</v>
      </c>
      <c r="C231" s="207">
        <v>10283.055</v>
      </c>
      <c r="D231" s="207">
        <v>4948.2330000000002</v>
      </c>
      <c r="E231" s="207">
        <v>202.95599999999999</v>
      </c>
    </row>
    <row r="232" spans="1:7" x14ac:dyDescent="0.2">
      <c r="A232" s="10" t="s">
        <v>212</v>
      </c>
      <c r="B232" s="11" t="s">
        <v>91</v>
      </c>
      <c r="C232" s="207">
        <v>10302.904</v>
      </c>
      <c r="D232" s="207">
        <v>4941.0360000000001</v>
      </c>
      <c r="E232" s="207">
        <v>203.34200000000001</v>
      </c>
    </row>
    <row r="233" spans="1:7" x14ac:dyDescent="0.2">
      <c r="A233" s="10" t="s">
        <v>213</v>
      </c>
      <c r="B233" s="11" t="s">
        <v>91</v>
      </c>
      <c r="C233" s="207">
        <v>10302.904</v>
      </c>
      <c r="D233" s="207">
        <v>4941.0360000000001</v>
      </c>
      <c r="E233" s="207">
        <v>203.34200000000001</v>
      </c>
      <c r="G233" s="33"/>
    </row>
    <row r="234" spans="1:7" x14ac:dyDescent="0.2">
      <c r="A234" s="10" t="s">
        <v>214</v>
      </c>
      <c r="B234" s="11" t="s">
        <v>92</v>
      </c>
      <c r="C234" s="207">
        <v>10319.781000000001</v>
      </c>
      <c r="D234" s="207">
        <v>4934.9480000000003</v>
      </c>
      <c r="E234" s="207">
        <v>203.65899999999999</v>
      </c>
    </row>
    <row r="235" spans="1:7" x14ac:dyDescent="0.2">
      <c r="A235" s="10" t="s">
        <v>215</v>
      </c>
      <c r="B235" s="11" t="s">
        <v>92</v>
      </c>
      <c r="C235" s="207">
        <v>10319.781000000001</v>
      </c>
      <c r="D235" s="207">
        <v>4934.9480000000003</v>
      </c>
      <c r="E235" s="207">
        <v>203.66</v>
      </c>
    </row>
    <row r="236" spans="1:7" x14ac:dyDescent="0.2">
      <c r="A236" s="10" t="s">
        <v>216</v>
      </c>
      <c r="B236" s="11" t="s">
        <v>93</v>
      </c>
      <c r="C236" s="207">
        <v>10339.598</v>
      </c>
      <c r="D236" s="207">
        <v>4927.777</v>
      </c>
      <c r="E236" s="207">
        <v>204</v>
      </c>
    </row>
    <row r="237" spans="1:7" x14ac:dyDescent="0.2">
      <c r="A237" s="10" t="s">
        <v>217</v>
      </c>
      <c r="B237" s="11" t="s">
        <v>93</v>
      </c>
      <c r="C237" s="207">
        <v>10339.597</v>
      </c>
      <c r="D237" s="207">
        <v>4927.7749999999996</v>
      </c>
      <c r="E237" s="207">
        <v>204</v>
      </c>
    </row>
    <row r="238" spans="1:7" x14ac:dyDescent="0.2">
      <c r="A238" s="10" t="s">
        <v>218</v>
      </c>
      <c r="B238" s="11" t="s">
        <v>94</v>
      </c>
      <c r="C238" s="207">
        <v>10356.43</v>
      </c>
      <c r="D238" s="207">
        <v>4921.5940000000001</v>
      </c>
      <c r="E238" s="207">
        <v>204.178</v>
      </c>
    </row>
    <row r="239" spans="1:7" x14ac:dyDescent="0.2">
      <c r="A239" s="10" t="s">
        <v>219</v>
      </c>
      <c r="B239" s="11" t="s">
        <v>94</v>
      </c>
      <c r="C239" s="207">
        <v>10356.431</v>
      </c>
      <c r="D239" s="207">
        <v>4921.5959999999995</v>
      </c>
      <c r="E239" s="207">
        <v>204.18</v>
      </c>
    </row>
    <row r="240" spans="1:7" x14ac:dyDescent="0.2">
      <c r="A240" s="10" t="s">
        <v>220</v>
      </c>
      <c r="B240" s="11" t="s">
        <v>95</v>
      </c>
      <c r="C240" s="207">
        <v>10376.462</v>
      </c>
      <c r="D240" s="207">
        <v>4914.2910000000002</v>
      </c>
      <c r="E240" s="207">
        <v>204.76499999999999</v>
      </c>
    </row>
    <row r="241" spans="1:11" x14ac:dyDescent="0.2">
      <c r="A241" s="10" t="s">
        <v>221</v>
      </c>
      <c r="B241" s="11" t="s">
        <v>95</v>
      </c>
      <c r="C241" s="207">
        <v>10376.460999999999</v>
      </c>
      <c r="D241" s="207">
        <v>4914.2879999999996</v>
      </c>
      <c r="E241" s="207">
        <v>204.762</v>
      </c>
    </row>
    <row r="242" spans="1:11" x14ac:dyDescent="0.2">
      <c r="A242" s="10" t="s">
        <v>222</v>
      </c>
      <c r="B242" s="11" t="s">
        <v>95</v>
      </c>
      <c r="C242" s="207">
        <v>10376.460999999999</v>
      </c>
      <c r="D242" s="207">
        <v>4914.2879999999996</v>
      </c>
      <c r="E242" s="207">
        <v>204.76300000000001</v>
      </c>
    </row>
    <row r="243" spans="1:11" x14ac:dyDescent="0.2">
      <c r="A243" s="10" t="s">
        <v>223</v>
      </c>
      <c r="B243" s="11" t="s">
        <v>95</v>
      </c>
      <c r="C243" s="207">
        <v>10376.460999999999</v>
      </c>
      <c r="D243" s="207">
        <v>4914.29</v>
      </c>
      <c r="E243" s="207">
        <v>204.76499999999999</v>
      </c>
      <c r="G243" s="33"/>
      <c r="K243" s="4"/>
    </row>
    <row r="244" spans="1:11" x14ac:dyDescent="0.2">
      <c r="A244" s="10" t="s">
        <v>826</v>
      </c>
      <c r="B244" s="11" t="s">
        <v>463</v>
      </c>
      <c r="C244" s="207">
        <v>10089.152</v>
      </c>
      <c r="D244" s="207">
        <v>5007.5309999999999</v>
      </c>
      <c r="E244" s="207">
        <v>201.35400000000001</v>
      </c>
      <c r="K244" s="4"/>
    </row>
    <row r="245" spans="1:11" x14ac:dyDescent="0.2">
      <c r="A245" s="10" t="s">
        <v>827</v>
      </c>
      <c r="B245" s="11" t="s">
        <v>463</v>
      </c>
      <c r="C245" s="10">
        <v>10089.148999999999</v>
      </c>
      <c r="D245" s="10">
        <v>5007.5230000000001</v>
      </c>
      <c r="E245" s="10">
        <v>201.36500000000001</v>
      </c>
    </row>
    <row r="246" spans="1:11" x14ac:dyDescent="0.2">
      <c r="A246" s="10" t="s">
        <v>828</v>
      </c>
      <c r="B246" s="11" t="s">
        <v>465</v>
      </c>
      <c r="C246" s="10">
        <v>10467.052</v>
      </c>
      <c r="D246" s="10">
        <v>4872.5820000000003</v>
      </c>
      <c r="E246" s="10">
        <v>208.3</v>
      </c>
    </row>
    <row r="247" spans="1:11" x14ac:dyDescent="0.2">
      <c r="A247" s="10" t="s">
        <v>829</v>
      </c>
      <c r="B247" s="11" t="s">
        <v>465</v>
      </c>
      <c r="C247" s="10">
        <v>10467.050999999999</v>
      </c>
      <c r="D247" s="10">
        <v>4872.5770000000002</v>
      </c>
      <c r="E247" s="10">
        <v>208.28899999999999</v>
      </c>
      <c r="K247" s="4"/>
    </row>
    <row r="248" spans="1:11" x14ac:dyDescent="0.2">
      <c r="A248" s="10"/>
      <c r="B248" s="11" t="s">
        <v>465</v>
      </c>
      <c r="C248" s="10"/>
      <c r="D248" s="10"/>
      <c r="E248" s="10"/>
      <c r="K248" s="4"/>
    </row>
    <row r="249" spans="1:11" x14ac:dyDescent="0.2">
      <c r="A249" s="10" t="s">
        <v>224</v>
      </c>
      <c r="B249" s="11" t="s">
        <v>95</v>
      </c>
      <c r="C249" s="10">
        <v>10376.462</v>
      </c>
      <c r="D249" s="10">
        <v>4914.2920000000004</v>
      </c>
      <c r="E249" s="10">
        <v>204.76</v>
      </c>
      <c r="K249" s="4"/>
    </row>
    <row r="250" spans="1:11" x14ac:dyDescent="0.2">
      <c r="A250" s="10" t="s">
        <v>225</v>
      </c>
      <c r="B250" s="11" t="s">
        <v>95</v>
      </c>
      <c r="C250" s="10">
        <v>10376.460999999999</v>
      </c>
      <c r="D250" s="10">
        <v>4914.2910000000002</v>
      </c>
      <c r="E250" s="10">
        <v>204.76300000000001</v>
      </c>
      <c r="K250" s="4"/>
    </row>
    <row r="251" spans="1:11" x14ac:dyDescent="0.2">
      <c r="A251" s="10" t="s">
        <v>226</v>
      </c>
      <c r="B251" s="11" t="s">
        <v>95</v>
      </c>
      <c r="C251" s="10">
        <v>10376.462</v>
      </c>
      <c r="D251" s="10">
        <v>4914.2920000000004</v>
      </c>
      <c r="E251" s="10">
        <v>204.762</v>
      </c>
      <c r="K251" s="4"/>
    </row>
    <row r="252" spans="1:11" x14ac:dyDescent="0.2">
      <c r="A252" s="10" t="s">
        <v>227</v>
      </c>
      <c r="B252" s="11" t="s">
        <v>95</v>
      </c>
      <c r="C252" s="10">
        <v>10376.462</v>
      </c>
      <c r="D252" s="10">
        <v>4914.2920000000004</v>
      </c>
      <c r="E252" s="10">
        <v>204.76</v>
      </c>
    </row>
    <row r="253" spans="1:11" x14ac:dyDescent="0.2">
      <c r="A253" s="10" t="s">
        <v>228</v>
      </c>
      <c r="B253" s="11" t="s">
        <v>96</v>
      </c>
      <c r="C253" s="10">
        <v>10395.959000000001</v>
      </c>
      <c r="D253" s="10">
        <v>4907.21</v>
      </c>
      <c r="E253" s="10">
        <v>205.261</v>
      </c>
    </row>
    <row r="254" spans="1:11" x14ac:dyDescent="0.2">
      <c r="A254" s="10" t="s">
        <v>229</v>
      </c>
      <c r="B254" s="11" t="s">
        <v>96</v>
      </c>
      <c r="C254" s="10">
        <v>10395.957</v>
      </c>
      <c r="D254" s="10">
        <v>4907.2079999999996</v>
      </c>
      <c r="E254" s="10">
        <v>205.26300000000001</v>
      </c>
    </row>
    <row r="255" spans="1:11" x14ac:dyDescent="0.2">
      <c r="A255" s="10" t="s">
        <v>230</v>
      </c>
      <c r="B255" s="11" t="s">
        <v>97</v>
      </c>
      <c r="C255" s="10">
        <v>10412.812</v>
      </c>
      <c r="D255" s="10">
        <v>4901.1009999999997</v>
      </c>
      <c r="E255" s="10">
        <v>205.60900000000001</v>
      </c>
    </row>
    <row r="256" spans="1:11" x14ac:dyDescent="0.2">
      <c r="A256" s="10" t="s">
        <v>231</v>
      </c>
      <c r="B256" s="11" t="s">
        <v>97</v>
      </c>
      <c r="C256" s="10">
        <v>10412.812</v>
      </c>
      <c r="D256" s="10">
        <v>4901.1019999999999</v>
      </c>
      <c r="E256" s="10">
        <v>205.60400000000001</v>
      </c>
    </row>
    <row r="257" spans="1:5" x14ac:dyDescent="0.2">
      <c r="A257" s="10" t="s">
        <v>232</v>
      </c>
      <c r="B257" s="11" t="s">
        <v>98</v>
      </c>
      <c r="C257" s="10">
        <v>10432.555</v>
      </c>
      <c r="D257" s="10">
        <v>4894.1850000000004</v>
      </c>
      <c r="E257" s="10">
        <v>206.06</v>
      </c>
    </row>
    <row r="258" spans="1:5" x14ac:dyDescent="0.2">
      <c r="A258" s="10" t="s">
        <v>233</v>
      </c>
      <c r="B258" s="11" t="s">
        <v>98</v>
      </c>
      <c r="C258" s="10">
        <v>10432.554</v>
      </c>
      <c r="D258" s="10">
        <v>4894.1840000000002</v>
      </c>
      <c r="E258" s="10">
        <v>206.06100000000001</v>
      </c>
    </row>
    <row r="259" spans="1:5" x14ac:dyDescent="0.2">
      <c r="A259" s="10" t="s">
        <v>234</v>
      </c>
      <c r="B259" s="11" t="s">
        <v>99</v>
      </c>
      <c r="C259" s="10">
        <v>10452.135</v>
      </c>
      <c r="D259" s="10">
        <v>4886.6570000000002</v>
      </c>
      <c r="E259" s="10">
        <v>206.32900000000001</v>
      </c>
    </row>
    <row r="260" spans="1:5" x14ac:dyDescent="0.2">
      <c r="A260" s="10" t="s">
        <v>235</v>
      </c>
      <c r="B260" s="11" t="s">
        <v>99</v>
      </c>
      <c r="C260" s="10">
        <v>10452.135</v>
      </c>
      <c r="D260" s="10">
        <v>4886.6570000000002</v>
      </c>
      <c r="E260" s="10">
        <v>206.328</v>
      </c>
    </row>
    <row r="261" spans="1:5" x14ac:dyDescent="0.2">
      <c r="A261" s="10" t="s">
        <v>236</v>
      </c>
      <c r="B261" s="11" t="s">
        <v>100</v>
      </c>
      <c r="C261" s="10">
        <v>10469.478999999999</v>
      </c>
      <c r="D261" s="10">
        <v>4881.2060000000001</v>
      </c>
      <c r="E261" s="10">
        <v>206.834</v>
      </c>
    </row>
    <row r="262" spans="1:5" x14ac:dyDescent="0.2">
      <c r="A262" s="10" t="s">
        <v>237</v>
      </c>
      <c r="B262" s="11" t="s">
        <v>100</v>
      </c>
      <c r="C262" s="10">
        <v>10469.48</v>
      </c>
      <c r="D262" s="10">
        <v>4881.2060000000001</v>
      </c>
      <c r="E262" s="10">
        <v>206.833</v>
      </c>
    </row>
    <row r="263" spans="1:5" x14ac:dyDescent="0.2">
      <c r="A263" s="10" t="s">
        <v>238</v>
      </c>
      <c r="B263" s="11" t="s">
        <v>101</v>
      </c>
      <c r="C263" s="10">
        <v>10489.29</v>
      </c>
      <c r="D263" s="10">
        <v>4874.9210000000003</v>
      </c>
      <c r="E263" s="10">
        <v>207.66300000000001</v>
      </c>
    </row>
    <row r="264" spans="1:5" x14ac:dyDescent="0.2">
      <c r="A264" s="10" t="s">
        <v>239</v>
      </c>
      <c r="B264" s="11" t="s">
        <v>101</v>
      </c>
      <c r="C264" s="10">
        <v>10489.29</v>
      </c>
      <c r="D264" s="10">
        <v>4874.9210000000003</v>
      </c>
      <c r="E264" s="10">
        <v>207.66300000000001</v>
      </c>
    </row>
    <row r="265" spans="1:5" x14ac:dyDescent="0.2">
      <c r="A265" s="10" t="s">
        <v>240</v>
      </c>
      <c r="B265" s="11" t="s">
        <v>102</v>
      </c>
      <c r="C265" s="10">
        <v>10509.06</v>
      </c>
      <c r="D265" s="10">
        <v>4868.7030000000004</v>
      </c>
      <c r="E265" s="10">
        <v>208.161</v>
      </c>
    </row>
    <row r="266" spans="1:5" x14ac:dyDescent="0.2">
      <c r="A266" s="10" t="s">
        <v>241</v>
      </c>
      <c r="B266" s="11" t="s">
        <v>102</v>
      </c>
      <c r="C266" s="10">
        <v>10509.06</v>
      </c>
      <c r="D266" s="10">
        <v>4868.7039999999997</v>
      </c>
      <c r="E266" s="10">
        <v>208.16200000000001</v>
      </c>
    </row>
    <row r="267" spans="1:5" x14ac:dyDescent="0.2">
      <c r="A267" s="10" t="s">
        <v>242</v>
      </c>
      <c r="B267" s="11" t="s">
        <v>103</v>
      </c>
      <c r="C267" s="10">
        <v>10526.148999999999</v>
      </c>
      <c r="D267" s="10">
        <v>4863.3440000000001</v>
      </c>
      <c r="E267" s="10">
        <v>208.542</v>
      </c>
    </row>
    <row r="268" spans="1:5" x14ac:dyDescent="0.2">
      <c r="A268" s="10" t="s">
        <v>243</v>
      </c>
      <c r="B268" s="11" t="s">
        <v>103</v>
      </c>
      <c r="C268" s="10">
        <v>10526.148999999999</v>
      </c>
      <c r="D268" s="10">
        <v>4863.3419999999996</v>
      </c>
      <c r="E268" s="10">
        <v>208.53800000000001</v>
      </c>
    </row>
    <row r="269" spans="1:5" x14ac:dyDescent="0.2">
      <c r="A269" s="10" t="s">
        <v>244</v>
      </c>
      <c r="B269" s="11" t="s">
        <v>104</v>
      </c>
      <c r="C269" s="10">
        <v>10546.046</v>
      </c>
      <c r="D269" s="10">
        <v>4857.0720000000001</v>
      </c>
      <c r="E269" s="10">
        <v>208.81</v>
      </c>
    </row>
    <row r="270" spans="1:5" x14ac:dyDescent="0.2">
      <c r="A270" s="10" t="s">
        <v>245</v>
      </c>
      <c r="B270" s="11" t="s">
        <v>104</v>
      </c>
      <c r="C270" s="10">
        <v>10546.047</v>
      </c>
      <c r="D270" s="10">
        <v>4857.0730000000003</v>
      </c>
      <c r="E270" s="10">
        <v>208.81299999999999</v>
      </c>
    </row>
    <row r="271" spans="1:5" x14ac:dyDescent="0.2">
      <c r="A271" s="10" t="s">
        <v>246</v>
      </c>
      <c r="B271" s="11" t="s">
        <v>105</v>
      </c>
      <c r="C271" s="10">
        <v>10565.699000000001</v>
      </c>
      <c r="D271" s="10">
        <v>4850.8890000000001</v>
      </c>
      <c r="E271" s="10">
        <v>209.357</v>
      </c>
    </row>
    <row r="272" spans="1:5" x14ac:dyDescent="0.2">
      <c r="A272" s="10" t="s">
        <v>247</v>
      </c>
      <c r="B272" s="11" t="s">
        <v>105</v>
      </c>
      <c r="C272" s="10">
        <v>10565.698</v>
      </c>
      <c r="D272" s="10">
        <v>4850.8829999999998</v>
      </c>
      <c r="E272" s="10">
        <v>209.352</v>
      </c>
    </row>
    <row r="273" spans="1:5" x14ac:dyDescent="0.2">
      <c r="A273" s="10" t="s">
        <v>248</v>
      </c>
      <c r="B273" s="11" t="s">
        <v>105</v>
      </c>
      <c r="C273" s="10">
        <v>10565.698</v>
      </c>
      <c r="D273" s="10">
        <v>4850.884</v>
      </c>
      <c r="E273" s="10">
        <v>209.351</v>
      </c>
    </row>
    <row r="274" spans="1:5" x14ac:dyDescent="0.2">
      <c r="A274" s="10" t="s">
        <v>249</v>
      </c>
      <c r="B274" s="11" t="s">
        <v>105</v>
      </c>
      <c r="C274" s="10">
        <v>10565.698</v>
      </c>
      <c r="D274" s="10">
        <v>4850.8869999999997</v>
      </c>
      <c r="E274" s="10">
        <v>209.35599999999999</v>
      </c>
    </row>
    <row r="275" spans="1:5" x14ac:dyDescent="0.2">
      <c r="A275" s="10" t="s">
        <v>830</v>
      </c>
      <c r="B275" s="11" t="s">
        <v>464</v>
      </c>
      <c r="C275" s="10">
        <v>10280.593999999999</v>
      </c>
      <c r="D275" s="10">
        <v>4941.6490000000003</v>
      </c>
      <c r="E275" s="10">
        <v>204.52</v>
      </c>
    </row>
    <row r="276" spans="1:5" x14ac:dyDescent="0.2">
      <c r="A276" s="10" t="s">
        <v>831</v>
      </c>
      <c r="B276" s="11" t="s">
        <v>464</v>
      </c>
      <c r="C276" s="10">
        <v>10280.593000000001</v>
      </c>
      <c r="D276" s="10">
        <v>4941.6450000000004</v>
      </c>
      <c r="E276" s="10">
        <v>204.53299999999999</v>
      </c>
    </row>
    <row r="277" spans="1:5" x14ac:dyDescent="0.2">
      <c r="A277" s="10" t="s">
        <v>832</v>
      </c>
      <c r="B277" s="11" t="s">
        <v>363</v>
      </c>
      <c r="C277" s="10">
        <v>10655.442999999999</v>
      </c>
      <c r="D277" s="10">
        <v>4809.0339999999997</v>
      </c>
      <c r="E277" s="10">
        <v>214.054</v>
      </c>
    </row>
    <row r="278" spans="1:5" x14ac:dyDescent="0.2">
      <c r="A278" s="10" t="s">
        <v>833</v>
      </c>
      <c r="B278" s="11" t="s">
        <v>363</v>
      </c>
      <c r="C278" s="10">
        <v>10655.441000000001</v>
      </c>
      <c r="D278" s="10">
        <v>4809.0280000000002</v>
      </c>
      <c r="E278" s="10">
        <v>214.04599999999999</v>
      </c>
    </row>
    <row r="279" spans="1:5" x14ac:dyDescent="0.2">
      <c r="A279" s="10"/>
      <c r="B279" s="11" t="s">
        <v>363</v>
      </c>
      <c r="C279" s="10"/>
      <c r="D279" s="10"/>
      <c r="E279" s="10"/>
    </row>
    <row r="280" spans="1:5" x14ac:dyDescent="0.2">
      <c r="A280" s="10" t="s">
        <v>250</v>
      </c>
      <c r="B280" s="11" t="s">
        <v>105</v>
      </c>
      <c r="C280" s="10">
        <v>10565.696</v>
      </c>
      <c r="D280" s="10">
        <v>4850.8779999999997</v>
      </c>
      <c r="E280" s="10">
        <v>209.339</v>
      </c>
    </row>
    <row r="281" spans="1:5" x14ac:dyDescent="0.2">
      <c r="A281" s="10" t="s">
        <v>251</v>
      </c>
      <c r="B281" s="11" t="s">
        <v>105</v>
      </c>
      <c r="C281" s="10">
        <v>10565.698</v>
      </c>
      <c r="D281" s="10">
        <v>4850.8810000000003</v>
      </c>
      <c r="E281" s="138">
        <v>209.33699999999999</v>
      </c>
    </row>
    <row r="282" spans="1:5" x14ac:dyDescent="0.2">
      <c r="A282" s="10" t="s">
        <v>252</v>
      </c>
      <c r="B282" s="11" t="s">
        <v>105</v>
      </c>
      <c r="C282" s="10">
        <v>10565.698</v>
      </c>
      <c r="D282" s="10">
        <v>4850.8810000000003</v>
      </c>
      <c r="E282" s="10">
        <v>209.334</v>
      </c>
    </row>
    <row r="283" spans="1:5" x14ac:dyDescent="0.2">
      <c r="A283" s="10" t="s">
        <v>253</v>
      </c>
      <c r="B283" s="11" t="s">
        <v>105</v>
      </c>
      <c r="C283" s="10">
        <v>10565.697</v>
      </c>
      <c r="D283" s="10">
        <v>4850.8789999999999</v>
      </c>
      <c r="E283" s="10">
        <v>209.339</v>
      </c>
    </row>
    <row r="284" spans="1:5" x14ac:dyDescent="0.2">
      <c r="A284" s="10" t="s">
        <v>254</v>
      </c>
      <c r="B284" s="11" t="s">
        <v>106</v>
      </c>
      <c r="C284" s="10">
        <v>10585.302</v>
      </c>
      <c r="D284" s="10">
        <v>4844.2619999999997</v>
      </c>
      <c r="E284" s="10">
        <v>210.00399999999999</v>
      </c>
    </row>
    <row r="285" spans="1:5" x14ac:dyDescent="0.2">
      <c r="A285" s="10" t="s">
        <v>255</v>
      </c>
      <c r="B285" s="11" t="s">
        <v>106</v>
      </c>
      <c r="C285" s="10">
        <v>10585.303</v>
      </c>
      <c r="D285" s="10">
        <v>4844.2629999999999</v>
      </c>
      <c r="E285" s="10">
        <v>210</v>
      </c>
    </row>
    <row r="286" spans="1:5" x14ac:dyDescent="0.2">
      <c r="A286" s="10" t="s">
        <v>256</v>
      </c>
      <c r="B286" s="11" t="s">
        <v>107</v>
      </c>
      <c r="C286" s="10">
        <v>10602.575000000001</v>
      </c>
      <c r="D286" s="10">
        <v>4839.2160000000003</v>
      </c>
      <c r="E286" s="10">
        <v>210.434</v>
      </c>
    </row>
    <row r="287" spans="1:5" x14ac:dyDescent="0.2">
      <c r="A287" s="10" t="s">
        <v>257</v>
      </c>
      <c r="B287" s="11" t="s">
        <v>107</v>
      </c>
      <c r="C287" s="10">
        <v>10602.575000000001</v>
      </c>
      <c r="D287" s="10">
        <v>4839.2169999999996</v>
      </c>
      <c r="E287" s="10">
        <v>210.43199999999999</v>
      </c>
    </row>
    <row r="288" spans="1:5" x14ac:dyDescent="0.2">
      <c r="A288" s="10" t="s">
        <v>258</v>
      </c>
      <c r="B288" s="11" t="s">
        <v>108</v>
      </c>
      <c r="C288" s="10">
        <v>10622.275</v>
      </c>
      <c r="D288" s="10">
        <v>4832.99</v>
      </c>
      <c r="E288" s="10">
        <v>211.18100000000001</v>
      </c>
    </row>
    <row r="289" spans="1:5" x14ac:dyDescent="0.2">
      <c r="A289" s="10" t="s">
        <v>259</v>
      </c>
      <c r="B289" s="11" t="s">
        <v>108</v>
      </c>
      <c r="C289" s="10">
        <v>10622.273999999999</v>
      </c>
      <c r="D289" s="10">
        <v>4832.991</v>
      </c>
      <c r="E289" s="10">
        <v>211.18100000000001</v>
      </c>
    </row>
    <row r="290" spans="1:5" x14ac:dyDescent="0.2">
      <c r="A290" s="10" t="s">
        <v>260</v>
      </c>
      <c r="B290" s="11" t="s">
        <v>109</v>
      </c>
      <c r="C290" s="10">
        <v>10642.235000000001</v>
      </c>
      <c r="D290" s="10">
        <v>4826.683</v>
      </c>
      <c r="E290" s="10">
        <v>211.74600000000001</v>
      </c>
    </row>
    <row r="291" spans="1:5" x14ac:dyDescent="0.2">
      <c r="A291" s="10" t="s">
        <v>261</v>
      </c>
      <c r="B291" s="11" t="s">
        <v>109</v>
      </c>
      <c r="C291" s="10">
        <v>10642.235000000001</v>
      </c>
      <c r="D291" s="10">
        <v>4826.683</v>
      </c>
      <c r="E291" s="10">
        <v>211.74600000000001</v>
      </c>
    </row>
    <row r="292" spans="1:5" x14ac:dyDescent="0.2">
      <c r="A292" s="10" t="s">
        <v>262</v>
      </c>
      <c r="B292" s="11" t="s">
        <v>110</v>
      </c>
      <c r="C292" s="10">
        <v>10659.272000000001</v>
      </c>
      <c r="D292" s="10">
        <v>4821.4049999999997</v>
      </c>
      <c r="E292" s="10">
        <v>212.36199999999999</v>
      </c>
    </row>
    <row r="293" spans="1:5" x14ac:dyDescent="0.2">
      <c r="A293" s="10" t="s">
        <v>263</v>
      </c>
      <c r="B293" s="11" t="s">
        <v>110</v>
      </c>
      <c r="C293" s="10">
        <v>10659.272000000001</v>
      </c>
      <c r="D293" s="10">
        <v>4821.4049999999997</v>
      </c>
      <c r="E293" s="10">
        <v>212.36099999999999</v>
      </c>
    </row>
    <row r="294" spans="1:5" x14ac:dyDescent="0.2">
      <c r="A294" s="10" t="s">
        <v>264</v>
      </c>
      <c r="B294" s="11" t="s">
        <v>111</v>
      </c>
      <c r="C294" s="10">
        <v>10679.205</v>
      </c>
      <c r="D294" s="10">
        <v>4815.1540000000005</v>
      </c>
      <c r="E294" s="10">
        <v>213.01400000000001</v>
      </c>
    </row>
    <row r="295" spans="1:5" x14ac:dyDescent="0.2">
      <c r="A295" s="10" t="s">
        <v>265</v>
      </c>
      <c r="B295" s="11" t="s">
        <v>111</v>
      </c>
      <c r="C295" s="10">
        <v>10679.206</v>
      </c>
      <c r="D295" s="10">
        <v>4815.1530000000002</v>
      </c>
      <c r="E295" s="10">
        <v>213.01400000000001</v>
      </c>
    </row>
    <row r="296" spans="1:5" x14ac:dyDescent="0.2">
      <c r="A296" s="10" t="s">
        <v>266</v>
      </c>
      <c r="B296" s="11" t="s">
        <v>112</v>
      </c>
      <c r="C296" s="10">
        <v>10699.120999999999</v>
      </c>
      <c r="D296" s="10">
        <v>4808.8609999999999</v>
      </c>
      <c r="E296" s="10">
        <v>213.68199999999999</v>
      </c>
    </row>
    <row r="297" spans="1:5" x14ac:dyDescent="0.2">
      <c r="A297" s="10" t="s">
        <v>267</v>
      </c>
      <c r="B297" s="11" t="s">
        <v>112</v>
      </c>
      <c r="C297" s="10">
        <v>10699.12</v>
      </c>
      <c r="D297" s="10">
        <v>4808.8609999999999</v>
      </c>
      <c r="E297" s="10">
        <v>213.68299999999999</v>
      </c>
    </row>
    <row r="298" spans="1:5" x14ac:dyDescent="0.2">
      <c r="A298" s="10" t="s">
        <v>268</v>
      </c>
      <c r="B298" s="11" t="s">
        <v>113</v>
      </c>
      <c r="C298" s="10">
        <v>10719.048000000001</v>
      </c>
      <c r="D298" s="10">
        <v>4802.6229999999996</v>
      </c>
      <c r="E298" s="10">
        <v>214.339</v>
      </c>
    </row>
    <row r="299" spans="1:5" x14ac:dyDescent="0.2">
      <c r="A299" s="10" t="s">
        <v>269</v>
      </c>
      <c r="B299" s="11" t="s">
        <v>113</v>
      </c>
      <c r="C299" s="10">
        <v>10719.047</v>
      </c>
      <c r="D299" s="10">
        <v>4802.6210000000001</v>
      </c>
      <c r="E299" s="10">
        <v>214.33799999999999</v>
      </c>
    </row>
    <row r="300" spans="1:5" x14ac:dyDescent="0.2">
      <c r="A300" s="10" t="s">
        <v>270</v>
      </c>
      <c r="B300" s="11" t="s">
        <v>114</v>
      </c>
      <c r="C300" s="10">
        <v>10736.012000000001</v>
      </c>
      <c r="D300" s="10">
        <v>4797.1009999999997</v>
      </c>
      <c r="E300" s="10">
        <v>215.10900000000001</v>
      </c>
    </row>
    <row r="301" spans="1:5" x14ac:dyDescent="0.2">
      <c r="A301" s="10" t="s">
        <v>271</v>
      </c>
      <c r="B301" s="11" t="s">
        <v>114</v>
      </c>
      <c r="C301" s="10">
        <v>10736.011</v>
      </c>
      <c r="D301" s="10">
        <v>4797.1019999999999</v>
      </c>
      <c r="E301" s="10">
        <v>215.11099999999999</v>
      </c>
    </row>
    <row r="302" spans="1:5" x14ac:dyDescent="0.2">
      <c r="A302" s="10" t="s">
        <v>272</v>
      </c>
      <c r="B302" s="11" t="s">
        <v>115</v>
      </c>
      <c r="C302" s="10">
        <v>10755.947</v>
      </c>
      <c r="D302" s="10">
        <v>4790.7910000000002</v>
      </c>
      <c r="E302" s="10">
        <v>215.98699999999999</v>
      </c>
    </row>
    <row r="303" spans="1:5" x14ac:dyDescent="0.2">
      <c r="A303" s="10" t="s">
        <v>273</v>
      </c>
      <c r="B303" s="11" t="s">
        <v>115</v>
      </c>
      <c r="C303" s="10">
        <v>10755.946</v>
      </c>
      <c r="D303" s="10">
        <v>4790.7870000000003</v>
      </c>
      <c r="E303" s="10">
        <v>215.983</v>
      </c>
    </row>
    <row r="304" spans="1:5" x14ac:dyDescent="0.2">
      <c r="A304" s="10" t="s">
        <v>274</v>
      </c>
      <c r="B304" s="11" t="s">
        <v>115</v>
      </c>
      <c r="C304" s="10">
        <v>10755.946</v>
      </c>
      <c r="D304" s="10">
        <v>4790.7860000000001</v>
      </c>
      <c r="E304" s="10">
        <v>215.982</v>
      </c>
    </row>
    <row r="305" spans="1:5" x14ac:dyDescent="0.2">
      <c r="A305" s="10" t="s">
        <v>275</v>
      </c>
      <c r="B305" s="11" t="s">
        <v>115</v>
      </c>
      <c r="C305" s="10">
        <v>10755.946</v>
      </c>
      <c r="D305" s="10">
        <v>4790.7879999999996</v>
      </c>
      <c r="E305" s="10">
        <v>215.98599999999999</v>
      </c>
    </row>
    <row r="306" spans="1:5" x14ac:dyDescent="0.2">
      <c r="A306" s="10" t="s">
        <v>834</v>
      </c>
      <c r="B306" s="11" t="s">
        <v>465</v>
      </c>
      <c r="C306" s="10">
        <v>10467.053</v>
      </c>
      <c r="D306" s="10">
        <v>4872.5780000000004</v>
      </c>
      <c r="E306" s="10">
        <v>208.27099999999999</v>
      </c>
    </row>
    <row r="307" spans="1:5" x14ac:dyDescent="0.2">
      <c r="A307" s="10" t="s">
        <v>835</v>
      </c>
      <c r="B307" s="11" t="s">
        <v>465</v>
      </c>
      <c r="C307" s="10">
        <v>10467.052</v>
      </c>
      <c r="D307" s="10">
        <v>4872.5730000000003</v>
      </c>
      <c r="E307" s="10">
        <v>208.279</v>
      </c>
    </row>
    <row r="308" spans="1:5" x14ac:dyDescent="0.2">
      <c r="A308" s="10" t="s">
        <v>836</v>
      </c>
      <c r="B308" s="11" t="s">
        <v>466</v>
      </c>
      <c r="C308" s="10">
        <v>10852.669</v>
      </c>
      <c r="D308" s="10">
        <v>4756.4110000000001</v>
      </c>
      <c r="E308" s="10">
        <v>221.864</v>
      </c>
    </row>
    <row r="309" spans="1:5" x14ac:dyDescent="0.2">
      <c r="A309" s="10" t="s">
        <v>837</v>
      </c>
      <c r="B309" s="11" t="s">
        <v>466</v>
      </c>
      <c r="C309" s="10">
        <v>10852.67</v>
      </c>
      <c r="D309" s="10">
        <v>4756.4170000000004</v>
      </c>
      <c r="E309" s="10">
        <v>221.86500000000001</v>
      </c>
    </row>
    <row r="310" spans="1:5" x14ac:dyDescent="0.2">
      <c r="A310" s="10"/>
      <c r="B310" s="11" t="s">
        <v>466</v>
      </c>
      <c r="C310" s="10"/>
      <c r="D310" s="10"/>
      <c r="E310" s="10"/>
    </row>
    <row r="311" spans="1:5" x14ac:dyDescent="0.2">
      <c r="A311" s="10" t="s">
        <v>276</v>
      </c>
      <c r="B311" s="11" t="s">
        <v>115</v>
      </c>
      <c r="C311" s="10">
        <v>10755.947</v>
      </c>
      <c r="D311" s="10">
        <v>4790.7939999999999</v>
      </c>
      <c r="E311" s="10">
        <v>215.976</v>
      </c>
    </row>
    <row r="312" spans="1:5" x14ac:dyDescent="0.2">
      <c r="A312" s="10" t="s">
        <v>277</v>
      </c>
      <c r="B312" s="11" t="s">
        <v>115</v>
      </c>
      <c r="C312" s="10">
        <v>10755.945</v>
      </c>
      <c r="D312" s="10">
        <v>4790.79</v>
      </c>
      <c r="E312" s="10">
        <v>215.976</v>
      </c>
    </row>
    <row r="313" spans="1:5" x14ac:dyDescent="0.2">
      <c r="A313" s="10" t="s">
        <v>278</v>
      </c>
      <c r="B313" s="11" t="s">
        <v>115</v>
      </c>
      <c r="C313" s="10">
        <v>10755.945</v>
      </c>
      <c r="D313" s="10">
        <v>4790.7910000000002</v>
      </c>
      <c r="E313" s="10">
        <v>215.98099999999999</v>
      </c>
    </row>
    <row r="314" spans="1:5" x14ac:dyDescent="0.2">
      <c r="A314" s="10" t="s">
        <v>279</v>
      </c>
      <c r="B314" s="11" t="s">
        <v>115</v>
      </c>
      <c r="C314" s="10">
        <v>10755.946</v>
      </c>
      <c r="D314" s="10">
        <v>4790.7929999999997</v>
      </c>
      <c r="E314" s="10">
        <v>215.97800000000001</v>
      </c>
    </row>
    <row r="315" spans="1:5" x14ac:dyDescent="0.2">
      <c r="A315" s="10" t="s">
        <v>280</v>
      </c>
      <c r="B315" s="11" t="s">
        <v>116</v>
      </c>
      <c r="C315" s="10">
        <v>10775.808999999999</v>
      </c>
      <c r="D315" s="10">
        <v>4784.4110000000001</v>
      </c>
      <c r="E315" s="10">
        <v>216.81899999999999</v>
      </c>
    </row>
    <row r="316" spans="1:5" x14ac:dyDescent="0.2">
      <c r="A316" s="10" t="s">
        <v>281</v>
      </c>
      <c r="B316" s="11" t="s">
        <v>116</v>
      </c>
      <c r="C316" s="10">
        <v>10775.808999999999</v>
      </c>
      <c r="D316" s="10">
        <v>4784.41</v>
      </c>
      <c r="E316" s="10">
        <v>216.82300000000001</v>
      </c>
    </row>
    <row r="317" spans="1:5" x14ac:dyDescent="0.2">
      <c r="A317" s="10" t="s">
        <v>282</v>
      </c>
      <c r="B317" s="11" t="s">
        <v>117</v>
      </c>
      <c r="C317" s="10">
        <v>10795.486000000001</v>
      </c>
      <c r="D317" s="10">
        <v>4778.1170000000002</v>
      </c>
      <c r="E317" s="10">
        <v>217.43299999999999</v>
      </c>
    </row>
    <row r="318" spans="1:5" x14ac:dyDescent="0.2">
      <c r="A318" s="10" t="s">
        <v>283</v>
      </c>
      <c r="B318" s="11" t="s">
        <v>117</v>
      </c>
      <c r="C318" s="10">
        <v>10795.484</v>
      </c>
      <c r="D318" s="10">
        <v>4778.1130000000003</v>
      </c>
      <c r="E318" s="10">
        <v>217.435</v>
      </c>
    </row>
    <row r="319" spans="1:5" x14ac:dyDescent="0.2">
      <c r="A319" s="10" t="s">
        <v>284</v>
      </c>
      <c r="B319" s="11" t="s">
        <v>118</v>
      </c>
      <c r="C319" s="10">
        <v>10812.511</v>
      </c>
      <c r="D319" s="10">
        <v>4772.7060000000001</v>
      </c>
      <c r="E319" s="10">
        <v>218.102</v>
      </c>
    </row>
    <row r="320" spans="1:5" x14ac:dyDescent="0.2">
      <c r="A320" s="10" t="s">
        <v>285</v>
      </c>
      <c r="B320" s="11" t="s">
        <v>118</v>
      </c>
      <c r="C320" s="10">
        <v>10812.511</v>
      </c>
      <c r="D320" s="10">
        <v>4772.7070000000003</v>
      </c>
      <c r="E320" s="10">
        <v>218.101</v>
      </c>
    </row>
    <row r="321" spans="1:5" x14ac:dyDescent="0.2">
      <c r="A321" s="10" t="s">
        <v>286</v>
      </c>
      <c r="B321" s="11" t="s">
        <v>119</v>
      </c>
      <c r="C321" s="10">
        <v>10832.285</v>
      </c>
      <c r="D321" s="10">
        <v>4766.259</v>
      </c>
      <c r="E321" s="10">
        <v>219.191</v>
      </c>
    </row>
    <row r="322" spans="1:5" x14ac:dyDescent="0.2">
      <c r="A322" s="10" t="s">
        <v>287</v>
      </c>
      <c r="B322" s="11" t="s">
        <v>119</v>
      </c>
      <c r="C322" s="10">
        <v>10832.285</v>
      </c>
      <c r="D322" s="10">
        <v>4766.259</v>
      </c>
      <c r="E322" s="10">
        <v>219.191</v>
      </c>
    </row>
    <row r="323" spans="1:5" x14ac:dyDescent="0.2">
      <c r="A323" s="10" t="s">
        <v>288</v>
      </c>
      <c r="B323" s="11" t="s">
        <v>120</v>
      </c>
      <c r="C323" s="10">
        <v>10851.858</v>
      </c>
      <c r="D323" s="10">
        <v>4759.9620000000004</v>
      </c>
      <c r="E323" s="10">
        <v>220.101</v>
      </c>
    </row>
    <row r="324" spans="1:5" x14ac:dyDescent="0.2">
      <c r="A324" s="10" t="s">
        <v>289</v>
      </c>
      <c r="B324" s="11" t="s">
        <v>120</v>
      </c>
      <c r="C324" s="10">
        <v>10851.858</v>
      </c>
      <c r="D324" s="10">
        <v>4759.9620000000004</v>
      </c>
      <c r="E324" s="10">
        <v>220.101</v>
      </c>
    </row>
    <row r="325" spans="1:5" x14ac:dyDescent="0.2">
      <c r="A325" s="10" t="s">
        <v>290</v>
      </c>
      <c r="B325" s="11" t="s">
        <v>121</v>
      </c>
      <c r="C325" s="10">
        <v>10871.447</v>
      </c>
      <c r="D325" s="10">
        <v>4753.7740000000003</v>
      </c>
      <c r="E325" s="10">
        <v>220.995</v>
      </c>
    </row>
    <row r="326" spans="1:5" x14ac:dyDescent="0.2">
      <c r="A326" s="10" t="s">
        <v>291</v>
      </c>
      <c r="B326" s="11" t="s">
        <v>121</v>
      </c>
      <c r="C326" s="10">
        <v>10871.447</v>
      </c>
      <c r="D326" s="10">
        <v>4753.7749999999996</v>
      </c>
      <c r="E326" s="10">
        <v>220.995</v>
      </c>
    </row>
    <row r="327" spans="1:5" x14ac:dyDescent="0.2">
      <c r="A327" s="10" t="s">
        <v>292</v>
      </c>
      <c r="B327" s="11" t="s">
        <v>122</v>
      </c>
      <c r="C327" s="10">
        <v>10910.41</v>
      </c>
      <c r="D327" s="10">
        <v>4761.0230000000001</v>
      </c>
      <c r="E327" s="10">
        <v>222.81</v>
      </c>
    </row>
    <row r="328" spans="1:5" x14ac:dyDescent="0.2">
      <c r="A328" s="10" t="s">
        <v>293</v>
      </c>
      <c r="B328" s="11" t="s">
        <v>122</v>
      </c>
      <c r="C328" s="10">
        <v>10910.41</v>
      </c>
      <c r="D328" s="10">
        <v>4761.0219999999999</v>
      </c>
      <c r="E328" s="10">
        <v>222.809</v>
      </c>
    </row>
    <row r="329" spans="1:5" x14ac:dyDescent="0.2">
      <c r="A329" s="10" t="s">
        <v>294</v>
      </c>
      <c r="B329" s="11" t="s">
        <v>123</v>
      </c>
      <c r="C329" s="10">
        <v>10921.316999999999</v>
      </c>
      <c r="D329" s="10">
        <v>4753.1450000000004</v>
      </c>
      <c r="E329" s="10">
        <v>223.422</v>
      </c>
    </row>
    <row r="330" spans="1:5" x14ac:dyDescent="0.2">
      <c r="A330" s="10" t="s">
        <v>295</v>
      </c>
      <c r="B330" s="11" t="s">
        <v>123</v>
      </c>
      <c r="C330" s="10">
        <v>10921.316999999999</v>
      </c>
      <c r="D330" s="10">
        <v>4753.1459999999997</v>
      </c>
      <c r="E330" s="10">
        <v>223.423</v>
      </c>
    </row>
    <row r="331" spans="1:5" x14ac:dyDescent="0.2">
      <c r="A331" s="10" t="s">
        <v>357</v>
      </c>
      <c r="B331" s="11" t="s">
        <v>123</v>
      </c>
      <c r="C331" s="10">
        <v>10921.316999999999</v>
      </c>
      <c r="D331" s="10">
        <v>4753.1440000000002</v>
      </c>
      <c r="E331" s="10">
        <v>223.423</v>
      </c>
    </row>
    <row r="332" spans="1:5" x14ac:dyDescent="0.2">
      <c r="A332" s="10" t="s">
        <v>358</v>
      </c>
      <c r="B332" s="11" t="s">
        <v>123</v>
      </c>
      <c r="C332" s="10">
        <v>10921.316000000001</v>
      </c>
      <c r="D332" s="10">
        <v>4753.143</v>
      </c>
      <c r="E332" s="10">
        <v>223.422</v>
      </c>
    </row>
    <row r="333" spans="1:5" x14ac:dyDescent="0.2">
      <c r="A333" s="10" t="s">
        <v>838</v>
      </c>
      <c r="B333" s="11" t="s">
        <v>363</v>
      </c>
      <c r="C333" s="10">
        <v>10655.439</v>
      </c>
      <c r="D333" s="10">
        <v>4809.0290000000005</v>
      </c>
      <c r="E333" s="10">
        <v>214.023</v>
      </c>
    </row>
    <row r="334" spans="1:5" x14ac:dyDescent="0.2">
      <c r="A334" s="10" t="s">
        <v>839</v>
      </c>
      <c r="B334" s="11" t="s">
        <v>363</v>
      </c>
      <c r="C334" s="10">
        <v>10655.439</v>
      </c>
      <c r="D334" s="10">
        <v>4809.0259999999998</v>
      </c>
      <c r="E334" s="10">
        <v>214.03100000000001</v>
      </c>
    </row>
    <row r="335" spans="1:5" x14ac:dyDescent="0.2">
      <c r="A335" s="10" t="s">
        <v>840</v>
      </c>
      <c r="B335" s="11" t="s">
        <v>467</v>
      </c>
      <c r="C335" s="10">
        <v>10980.155000000001</v>
      </c>
      <c r="D335" s="10">
        <v>4735.5389999999998</v>
      </c>
      <c r="E335" s="10">
        <v>227.69800000000001</v>
      </c>
    </row>
    <row r="336" spans="1:5" x14ac:dyDescent="0.2">
      <c r="A336" s="10" t="s">
        <v>841</v>
      </c>
      <c r="B336" s="11" t="s">
        <v>467</v>
      </c>
      <c r="C336" s="10">
        <v>10980.155000000001</v>
      </c>
      <c r="D336" s="10">
        <v>4735.5370000000003</v>
      </c>
      <c r="E336" s="10">
        <v>227.69200000000001</v>
      </c>
    </row>
    <row r="337" spans="1:5" x14ac:dyDescent="0.2">
      <c r="A337" s="10"/>
      <c r="B337" s="11" t="s">
        <v>467</v>
      </c>
      <c r="C337" s="10"/>
      <c r="D337" s="10"/>
      <c r="E337" s="10"/>
    </row>
    <row r="338" spans="1:5" x14ac:dyDescent="0.2">
      <c r="A338" s="10" t="s">
        <v>296</v>
      </c>
      <c r="B338" s="11" t="s">
        <v>123</v>
      </c>
      <c r="C338" s="10">
        <v>10921.315000000001</v>
      </c>
      <c r="D338" s="10">
        <v>4753.1379999999999</v>
      </c>
      <c r="E338" s="10">
        <v>223.41300000000001</v>
      </c>
    </row>
    <row r="339" spans="1:5" x14ac:dyDescent="0.2">
      <c r="A339" s="10" t="s">
        <v>297</v>
      </c>
      <c r="B339" s="11" t="s">
        <v>123</v>
      </c>
      <c r="C339" s="10">
        <v>10921.316000000001</v>
      </c>
      <c r="D339" s="10">
        <v>4753.1390000000001</v>
      </c>
      <c r="E339" s="10">
        <v>223.41499999999999</v>
      </c>
    </row>
    <row r="340" spans="1:5" x14ac:dyDescent="0.2">
      <c r="A340" s="10" t="s">
        <v>298</v>
      </c>
      <c r="B340" s="11" t="s">
        <v>123</v>
      </c>
      <c r="C340" s="10">
        <v>10921.316000000001</v>
      </c>
      <c r="D340" s="10">
        <v>4753.1400000000003</v>
      </c>
      <c r="E340" s="10">
        <v>223.416</v>
      </c>
    </row>
    <row r="341" spans="1:5" x14ac:dyDescent="0.2">
      <c r="A341" s="10" t="s">
        <v>299</v>
      </c>
      <c r="B341" s="11" t="s">
        <v>123</v>
      </c>
      <c r="C341" s="10">
        <v>10921.316000000001</v>
      </c>
      <c r="D341" s="10">
        <v>4753.1400000000003</v>
      </c>
      <c r="E341" s="10">
        <v>223.41399999999999</v>
      </c>
    </row>
    <row r="342" spans="1:5" x14ac:dyDescent="0.2">
      <c r="A342" s="10" t="s">
        <v>300</v>
      </c>
      <c r="B342" s="11" t="s">
        <v>124</v>
      </c>
      <c r="C342" s="10">
        <v>10938.48</v>
      </c>
      <c r="D342" s="10">
        <v>4740.8919999999998</v>
      </c>
      <c r="E342" s="10">
        <v>223.84</v>
      </c>
    </row>
    <row r="343" spans="1:5" x14ac:dyDescent="0.2">
      <c r="A343" s="10" t="s">
        <v>301</v>
      </c>
      <c r="B343" s="11" t="s">
        <v>124</v>
      </c>
      <c r="C343" s="10">
        <v>10938.478999999999</v>
      </c>
      <c r="D343" s="10">
        <v>4740.8909999999996</v>
      </c>
      <c r="E343" s="10">
        <v>223.84</v>
      </c>
    </row>
    <row r="344" spans="1:5" x14ac:dyDescent="0.2">
      <c r="A344" s="10" t="s">
        <v>302</v>
      </c>
      <c r="B344" s="11" t="s">
        <v>125</v>
      </c>
      <c r="C344" s="10">
        <v>10952.998</v>
      </c>
      <c r="D344" s="10">
        <v>4730.4709999999995</v>
      </c>
      <c r="E344" s="10">
        <v>224.15299999999999</v>
      </c>
    </row>
    <row r="345" spans="1:5" x14ac:dyDescent="0.2">
      <c r="A345" s="10" t="s">
        <v>303</v>
      </c>
      <c r="B345" s="11" t="s">
        <v>125</v>
      </c>
      <c r="C345" s="10">
        <v>10952.996999999999</v>
      </c>
      <c r="D345" s="10">
        <v>4730.4719999999998</v>
      </c>
      <c r="E345" s="10">
        <v>224.15299999999999</v>
      </c>
    </row>
    <row r="346" spans="1:5" x14ac:dyDescent="0.2">
      <c r="A346" s="10" t="s">
        <v>304</v>
      </c>
      <c r="B346" s="11" t="s">
        <v>126</v>
      </c>
      <c r="C346" s="10">
        <v>10970.094999999999</v>
      </c>
      <c r="D346" s="10">
        <v>4718.1970000000001</v>
      </c>
      <c r="E346" s="10">
        <v>224.357</v>
      </c>
    </row>
    <row r="347" spans="1:5" x14ac:dyDescent="0.2">
      <c r="A347" s="10" t="s">
        <v>305</v>
      </c>
      <c r="B347" s="11" t="s">
        <v>126</v>
      </c>
      <c r="C347" s="10">
        <v>10970.094999999999</v>
      </c>
      <c r="D347" s="10">
        <v>4718.1970000000001</v>
      </c>
      <c r="E347" s="10">
        <v>224.357</v>
      </c>
    </row>
    <row r="348" spans="1:5" x14ac:dyDescent="0.2">
      <c r="A348" s="10" t="s">
        <v>306</v>
      </c>
      <c r="B348" s="11" t="s">
        <v>127</v>
      </c>
      <c r="C348" s="10">
        <v>10984.316999999999</v>
      </c>
      <c r="D348" s="10">
        <v>4707.58</v>
      </c>
      <c r="E348" s="10">
        <v>224.90299999999999</v>
      </c>
    </row>
    <row r="349" spans="1:5" x14ac:dyDescent="0.2">
      <c r="A349" s="10" t="s">
        <v>307</v>
      </c>
      <c r="B349" s="11" t="s">
        <v>127</v>
      </c>
      <c r="C349" s="10">
        <v>10984.316999999999</v>
      </c>
      <c r="D349" s="10">
        <v>4707.58</v>
      </c>
      <c r="E349" s="10">
        <v>224.90199999999999</v>
      </c>
    </row>
    <row r="350" spans="1:5" x14ac:dyDescent="0.2">
      <c r="A350" s="10" t="s">
        <v>308</v>
      </c>
      <c r="B350" s="11" t="s">
        <v>128</v>
      </c>
      <c r="C350" s="10">
        <v>11000.606</v>
      </c>
      <c r="D350" s="10">
        <v>4695.1229999999996</v>
      </c>
      <c r="E350" s="10">
        <v>226.35</v>
      </c>
    </row>
    <row r="351" spans="1:5" x14ac:dyDescent="0.2">
      <c r="A351" s="10" t="s">
        <v>309</v>
      </c>
      <c r="B351" s="11" t="s">
        <v>128</v>
      </c>
      <c r="C351" s="10">
        <v>11000.607</v>
      </c>
      <c r="D351" s="10">
        <v>4695.1239999999998</v>
      </c>
      <c r="E351" s="10">
        <v>226.35</v>
      </c>
    </row>
    <row r="352" spans="1:5" x14ac:dyDescent="0.2">
      <c r="A352" s="10" t="s">
        <v>310</v>
      </c>
      <c r="B352" s="11" t="s">
        <v>129</v>
      </c>
      <c r="C352" s="10">
        <v>11016.971</v>
      </c>
      <c r="D352" s="10">
        <v>4682.6490000000003</v>
      </c>
      <c r="E352" s="10">
        <v>227.58699999999999</v>
      </c>
    </row>
    <row r="353" spans="1:5" x14ac:dyDescent="0.2">
      <c r="A353" s="10" t="s">
        <v>311</v>
      </c>
      <c r="B353" s="11" t="s">
        <v>129</v>
      </c>
      <c r="C353" s="10">
        <v>11016.968000000001</v>
      </c>
      <c r="D353" s="10">
        <v>4682.6469999999999</v>
      </c>
      <c r="E353" s="10">
        <v>227.584</v>
      </c>
    </row>
    <row r="354" spans="1:5" x14ac:dyDescent="0.2">
      <c r="A354" s="10" t="s">
        <v>312</v>
      </c>
      <c r="B354" s="11" t="s">
        <v>130</v>
      </c>
      <c r="C354" s="10">
        <v>11034.191000000001</v>
      </c>
      <c r="D354" s="10">
        <v>4669.68</v>
      </c>
      <c r="E354" s="10">
        <v>229.10400000000001</v>
      </c>
    </row>
    <row r="355" spans="1:5" x14ac:dyDescent="0.2">
      <c r="A355" s="10" t="s">
        <v>313</v>
      </c>
      <c r="B355" s="11" t="s">
        <v>130</v>
      </c>
      <c r="C355" s="10">
        <v>11034.192999999999</v>
      </c>
      <c r="D355" s="10">
        <v>4669.6809999999996</v>
      </c>
      <c r="E355" s="10">
        <v>229.107</v>
      </c>
    </row>
    <row r="356" spans="1:5" x14ac:dyDescent="0.2">
      <c r="A356" s="10" t="s">
        <v>314</v>
      </c>
      <c r="B356" s="11" t="s">
        <v>130</v>
      </c>
      <c r="C356" s="10">
        <v>11034.194</v>
      </c>
      <c r="D356" s="10">
        <v>4669.6819999999998</v>
      </c>
      <c r="E356" s="10">
        <v>229.108</v>
      </c>
    </row>
    <row r="357" spans="1:5" x14ac:dyDescent="0.2">
      <c r="A357" s="10" t="s">
        <v>315</v>
      </c>
      <c r="B357" s="11" t="s">
        <v>130</v>
      </c>
      <c r="C357" s="10">
        <v>11034.191000000001</v>
      </c>
      <c r="D357" s="10">
        <v>4669.6790000000001</v>
      </c>
      <c r="E357" s="10">
        <v>229.10499999999999</v>
      </c>
    </row>
    <row r="358" spans="1:5" x14ac:dyDescent="0.2">
      <c r="A358" s="10" t="s">
        <v>842</v>
      </c>
      <c r="B358" s="11" t="s">
        <v>466</v>
      </c>
      <c r="C358" s="10">
        <v>10852.671</v>
      </c>
      <c r="D358" s="10">
        <v>4756.4120000000003</v>
      </c>
      <c r="E358" s="10">
        <v>221.84899999999999</v>
      </c>
    </row>
    <row r="359" spans="1:5" x14ac:dyDescent="0.2">
      <c r="A359" s="10" t="s">
        <v>843</v>
      </c>
      <c r="B359" s="11" t="s">
        <v>466</v>
      </c>
      <c r="C359" s="10">
        <v>10852.67</v>
      </c>
      <c r="D359" s="10">
        <v>4756.4089999999997</v>
      </c>
      <c r="E359" s="10">
        <v>221.857</v>
      </c>
    </row>
    <row r="360" spans="1:5" x14ac:dyDescent="0.2">
      <c r="A360" s="10" t="s">
        <v>844</v>
      </c>
      <c r="B360" s="11" t="s">
        <v>362</v>
      </c>
      <c r="C360" s="10">
        <v>11100.841</v>
      </c>
      <c r="D360" s="10">
        <v>4669.2370000000001</v>
      </c>
      <c r="E360" s="10">
        <v>237.75</v>
      </c>
    </row>
    <row r="361" spans="1:5" x14ac:dyDescent="0.2">
      <c r="A361" s="10" t="s">
        <v>845</v>
      </c>
      <c r="B361" s="11" t="s">
        <v>362</v>
      </c>
      <c r="C361" s="10">
        <v>11100.839</v>
      </c>
      <c r="D361" s="10">
        <v>4669.2309999999998</v>
      </c>
      <c r="E361" s="10">
        <v>237.74299999999999</v>
      </c>
    </row>
    <row r="362" spans="1:5" x14ac:dyDescent="0.2">
      <c r="A362" s="10"/>
      <c r="B362" s="11" t="s">
        <v>362</v>
      </c>
      <c r="C362" s="10"/>
      <c r="D362" s="10"/>
      <c r="E362" s="10"/>
    </row>
    <row r="363" spans="1:5" x14ac:dyDescent="0.2">
      <c r="A363" s="10" t="s">
        <v>316</v>
      </c>
      <c r="B363" s="11" t="s">
        <v>130</v>
      </c>
      <c r="C363" s="10">
        <v>11034.19</v>
      </c>
      <c r="D363" s="10">
        <v>4669.6819999999998</v>
      </c>
      <c r="E363" s="10">
        <v>229.1</v>
      </c>
    </row>
    <row r="364" spans="1:5" x14ac:dyDescent="0.2">
      <c r="A364" s="10" t="s">
        <v>317</v>
      </c>
      <c r="B364" s="11" t="s">
        <v>130</v>
      </c>
      <c r="C364" s="10">
        <v>11034.191000000001</v>
      </c>
      <c r="D364" s="10">
        <v>4669.68</v>
      </c>
      <c r="E364" s="10">
        <v>229.101</v>
      </c>
    </row>
    <row r="365" spans="1:5" x14ac:dyDescent="0.2">
      <c r="A365" s="10" t="s">
        <v>318</v>
      </c>
      <c r="B365" s="11" t="s">
        <v>130</v>
      </c>
      <c r="C365" s="10">
        <v>11034.19</v>
      </c>
      <c r="D365" s="10">
        <v>4669.6790000000001</v>
      </c>
      <c r="E365" s="10">
        <v>229.102</v>
      </c>
    </row>
    <row r="366" spans="1:5" x14ac:dyDescent="0.2">
      <c r="A366" s="10" t="s">
        <v>319</v>
      </c>
      <c r="B366" s="11" t="s">
        <v>130</v>
      </c>
      <c r="C366" s="10">
        <v>11034.19</v>
      </c>
      <c r="D366" s="10">
        <v>4669.68</v>
      </c>
      <c r="E366" s="10">
        <v>229.1</v>
      </c>
    </row>
    <row r="367" spans="1:5" x14ac:dyDescent="0.2">
      <c r="A367" s="10" t="s">
        <v>320</v>
      </c>
      <c r="B367" s="11" t="s">
        <v>131</v>
      </c>
      <c r="C367" s="10">
        <v>11050.055</v>
      </c>
      <c r="D367" s="10">
        <v>4657.4660000000003</v>
      </c>
      <c r="E367" s="10">
        <v>230.767</v>
      </c>
    </row>
    <row r="368" spans="1:5" x14ac:dyDescent="0.2">
      <c r="A368" s="10" t="s">
        <v>321</v>
      </c>
      <c r="B368" s="11" t="s">
        <v>131</v>
      </c>
      <c r="C368" s="10">
        <v>11050.055</v>
      </c>
      <c r="D368" s="10">
        <v>4657.4660000000003</v>
      </c>
      <c r="E368" s="10">
        <v>230.76900000000001</v>
      </c>
    </row>
    <row r="369" spans="1:5" x14ac:dyDescent="0.2">
      <c r="A369" s="10" t="s">
        <v>322</v>
      </c>
      <c r="B369" s="11" t="s">
        <v>132</v>
      </c>
      <c r="C369" s="10">
        <v>11065.367</v>
      </c>
      <c r="D369" s="10">
        <v>4644.9960000000001</v>
      </c>
      <c r="E369" s="10">
        <v>232.51300000000001</v>
      </c>
    </row>
    <row r="370" spans="1:5" x14ac:dyDescent="0.2">
      <c r="A370" s="10" t="s">
        <v>323</v>
      </c>
      <c r="B370" s="11" t="s">
        <v>132</v>
      </c>
      <c r="C370" s="10">
        <v>11065.367</v>
      </c>
      <c r="D370" s="10">
        <v>4644.9960000000001</v>
      </c>
      <c r="E370" s="10">
        <v>232.511</v>
      </c>
    </row>
    <row r="371" spans="1:5" x14ac:dyDescent="0.2">
      <c r="A371" s="10" t="s">
        <v>324</v>
      </c>
      <c r="B371" s="11" t="s">
        <v>133</v>
      </c>
      <c r="C371" s="10">
        <v>11081.956</v>
      </c>
      <c r="D371" s="10">
        <v>4631.9889999999996</v>
      </c>
      <c r="E371" s="10">
        <v>234.47300000000001</v>
      </c>
    </row>
    <row r="372" spans="1:5" x14ac:dyDescent="0.2">
      <c r="A372" s="10" t="s">
        <v>325</v>
      </c>
      <c r="B372" s="11" t="s">
        <v>133</v>
      </c>
      <c r="C372" s="10">
        <v>11081.957</v>
      </c>
      <c r="D372" s="10">
        <v>4631.9889999999996</v>
      </c>
      <c r="E372" s="10">
        <v>234.47499999999999</v>
      </c>
    </row>
    <row r="373" spans="1:5" x14ac:dyDescent="0.2">
      <c r="A373" s="10" t="s">
        <v>326</v>
      </c>
      <c r="B373" s="11" t="s">
        <v>134</v>
      </c>
      <c r="C373" s="10">
        <v>11097.472</v>
      </c>
      <c r="D373" s="10">
        <v>4619.9480000000003</v>
      </c>
      <c r="E373" s="10">
        <v>236.07599999999999</v>
      </c>
    </row>
    <row r="374" spans="1:5" x14ac:dyDescent="0.2">
      <c r="A374" s="10" t="s">
        <v>327</v>
      </c>
      <c r="B374" s="11" t="s">
        <v>134</v>
      </c>
      <c r="C374" s="10">
        <v>11097.471</v>
      </c>
      <c r="D374" s="10">
        <v>4619.9480000000003</v>
      </c>
      <c r="E374" s="10">
        <v>236.07400000000001</v>
      </c>
    </row>
    <row r="375" spans="1:5" x14ac:dyDescent="0.2">
      <c r="A375" s="10" t="s">
        <v>328</v>
      </c>
      <c r="B375" s="11" t="s">
        <v>135</v>
      </c>
      <c r="C375" s="10">
        <v>11113.138000000001</v>
      </c>
      <c r="D375" s="10">
        <v>4608.1270000000004</v>
      </c>
      <c r="E375" s="10">
        <v>237.91300000000001</v>
      </c>
    </row>
    <row r="376" spans="1:5" x14ac:dyDescent="0.2">
      <c r="A376" s="10" t="s">
        <v>329</v>
      </c>
      <c r="B376" s="11" t="s">
        <v>135</v>
      </c>
      <c r="C376" s="10">
        <v>11113.14</v>
      </c>
      <c r="D376" s="10">
        <v>4608.1270000000004</v>
      </c>
      <c r="E376" s="10">
        <v>237.91399999999999</v>
      </c>
    </row>
    <row r="377" spans="1:5" x14ac:dyDescent="0.2">
      <c r="A377" s="10" t="s">
        <v>330</v>
      </c>
      <c r="B377" s="11" t="s">
        <v>136</v>
      </c>
      <c r="C377" s="10">
        <v>11131.751</v>
      </c>
      <c r="D377" s="10">
        <v>4593.5919999999996</v>
      </c>
      <c r="E377" s="10">
        <v>240.13</v>
      </c>
    </row>
    <row r="378" spans="1:5" x14ac:dyDescent="0.2">
      <c r="A378" s="10" t="s">
        <v>331</v>
      </c>
      <c r="B378" s="11" t="s">
        <v>136</v>
      </c>
      <c r="C378" s="10">
        <v>11131.748</v>
      </c>
      <c r="D378" s="10">
        <v>4593.5910000000003</v>
      </c>
      <c r="E378" s="10">
        <v>240.126</v>
      </c>
    </row>
    <row r="379" spans="1:5" x14ac:dyDescent="0.2">
      <c r="A379" s="10" t="s">
        <v>332</v>
      </c>
      <c r="B379" s="11" t="s">
        <v>137</v>
      </c>
      <c r="C379" s="10">
        <v>11147.573</v>
      </c>
      <c r="D379" s="10">
        <v>4582.6869999999999</v>
      </c>
      <c r="E379" s="10">
        <v>242.12700000000001</v>
      </c>
    </row>
    <row r="380" spans="1:5" x14ac:dyDescent="0.2">
      <c r="A380" s="10" t="s">
        <v>333</v>
      </c>
      <c r="B380" s="11" t="s">
        <v>137</v>
      </c>
      <c r="C380" s="10">
        <v>11147.575000000001</v>
      </c>
      <c r="D380" s="10">
        <v>4582.6880000000001</v>
      </c>
      <c r="E380" s="10">
        <v>242.131</v>
      </c>
    </row>
    <row r="381" spans="1:5" x14ac:dyDescent="0.2">
      <c r="A381" s="10" t="s">
        <v>334</v>
      </c>
      <c r="B381" s="11" t="s">
        <v>137</v>
      </c>
      <c r="C381" s="10">
        <v>11147.575999999999</v>
      </c>
      <c r="D381" s="10">
        <v>4582.6890000000003</v>
      </c>
      <c r="E381" s="10">
        <v>242.13200000000001</v>
      </c>
    </row>
    <row r="382" spans="1:5" x14ac:dyDescent="0.2">
      <c r="A382" s="10" t="s">
        <v>335</v>
      </c>
      <c r="B382" s="11" t="s">
        <v>137</v>
      </c>
      <c r="C382" s="10">
        <v>11147.574000000001</v>
      </c>
      <c r="D382" s="10">
        <v>4582.6869999999999</v>
      </c>
      <c r="E382" s="10">
        <v>242.126</v>
      </c>
    </row>
    <row r="383" spans="1:5" x14ac:dyDescent="0.2">
      <c r="A383" s="10" t="s">
        <v>846</v>
      </c>
      <c r="B383" s="11" t="s">
        <v>467</v>
      </c>
      <c r="C383" s="10">
        <v>10980.156000000001</v>
      </c>
      <c r="D383" s="10">
        <v>4735.5379999999996</v>
      </c>
      <c r="E383" s="10">
        <v>227.68</v>
      </c>
    </row>
    <row r="384" spans="1:5" x14ac:dyDescent="0.2">
      <c r="A384" s="10" t="s">
        <v>847</v>
      </c>
      <c r="B384" s="11" t="s">
        <v>467</v>
      </c>
      <c r="C384" s="10">
        <v>10980.156000000001</v>
      </c>
      <c r="D384" s="10">
        <v>4735.5389999999998</v>
      </c>
      <c r="E384" s="10">
        <v>227.68700000000001</v>
      </c>
    </row>
    <row r="385" spans="1:5" x14ac:dyDescent="0.2">
      <c r="A385" s="10" t="s">
        <v>848</v>
      </c>
      <c r="B385" s="11" t="s">
        <v>361</v>
      </c>
      <c r="C385" s="10">
        <v>11259.045</v>
      </c>
      <c r="D385" s="10">
        <v>4523.21</v>
      </c>
      <c r="E385" s="10">
        <v>260.416</v>
      </c>
    </row>
    <row r="386" spans="1:5" x14ac:dyDescent="0.2">
      <c r="A386" s="10" t="s">
        <v>849</v>
      </c>
      <c r="B386" s="11" t="s">
        <v>361</v>
      </c>
      <c r="C386" s="10">
        <v>11259.041999999999</v>
      </c>
      <c r="D386" s="10">
        <v>4523.2060000000001</v>
      </c>
      <c r="E386" s="10">
        <v>260.411</v>
      </c>
    </row>
    <row r="387" spans="1:5" x14ac:dyDescent="0.2">
      <c r="A387" s="10"/>
      <c r="B387" s="11" t="s">
        <v>361</v>
      </c>
      <c r="C387" s="10"/>
      <c r="D387" s="10"/>
      <c r="E387" s="10"/>
    </row>
    <row r="388" spans="1:5" x14ac:dyDescent="0.2">
      <c r="A388" s="10" t="s">
        <v>336</v>
      </c>
      <c r="B388" s="11" t="s">
        <v>137</v>
      </c>
      <c r="C388" s="10">
        <v>11147.567999999999</v>
      </c>
      <c r="D388" s="10">
        <v>4582.6859999999997</v>
      </c>
      <c r="E388" s="10">
        <v>242.12299999999999</v>
      </c>
    </row>
    <row r="389" spans="1:5" x14ac:dyDescent="0.2">
      <c r="A389" s="10" t="s">
        <v>337</v>
      </c>
      <c r="B389" s="11" t="s">
        <v>137</v>
      </c>
      <c r="C389" s="10">
        <v>11147.567999999999</v>
      </c>
      <c r="D389" s="10">
        <v>4582.6859999999997</v>
      </c>
      <c r="E389" s="10">
        <v>242.125</v>
      </c>
    </row>
    <row r="390" spans="1:5" x14ac:dyDescent="0.2">
      <c r="A390" s="10" t="s">
        <v>338</v>
      </c>
      <c r="B390" s="11" t="s">
        <v>137</v>
      </c>
      <c r="C390" s="10">
        <v>11147.569</v>
      </c>
      <c r="D390" s="10">
        <v>4582.6869999999999</v>
      </c>
      <c r="E390" s="10">
        <v>242.12299999999999</v>
      </c>
    </row>
    <row r="391" spans="1:5" x14ac:dyDescent="0.2">
      <c r="A391" s="10" t="s">
        <v>339</v>
      </c>
      <c r="B391" s="11" t="s">
        <v>137</v>
      </c>
      <c r="C391" s="10">
        <v>11147.57</v>
      </c>
      <c r="D391" s="10">
        <v>4582.6899999999996</v>
      </c>
      <c r="E391" s="10">
        <v>242.12299999999999</v>
      </c>
    </row>
    <row r="392" spans="1:5" x14ac:dyDescent="0.2">
      <c r="A392" s="10" t="s">
        <v>340</v>
      </c>
      <c r="B392" s="11" t="s">
        <v>138</v>
      </c>
      <c r="C392" s="10">
        <v>11165.19</v>
      </c>
      <c r="D392" s="10">
        <v>4571.643</v>
      </c>
      <c r="E392" s="10">
        <v>243.22900000000001</v>
      </c>
    </row>
    <row r="393" spans="1:5" x14ac:dyDescent="0.2">
      <c r="A393" s="10" t="s">
        <v>341</v>
      </c>
      <c r="B393" s="11" t="s">
        <v>138</v>
      </c>
      <c r="C393" s="10">
        <v>11165.19</v>
      </c>
      <c r="D393" s="10">
        <v>4571.643</v>
      </c>
      <c r="E393" s="10">
        <v>243.232</v>
      </c>
    </row>
    <row r="394" spans="1:5" x14ac:dyDescent="0.2">
      <c r="A394" s="10" t="s">
        <v>342</v>
      </c>
      <c r="B394" s="11" t="s">
        <v>139</v>
      </c>
      <c r="C394" s="10">
        <v>11182.058999999999</v>
      </c>
      <c r="D394" s="10">
        <v>4563.7700000000004</v>
      </c>
      <c r="E394" s="10">
        <v>244.58</v>
      </c>
    </row>
    <row r="395" spans="1:5" x14ac:dyDescent="0.2">
      <c r="A395" s="10" t="s">
        <v>343</v>
      </c>
      <c r="B395" s="11" t="s">
        <v>139</v>
      </c>
      <c r="C395" s="10">
        <v>11182.06</v>
      </c>
      <c r="D395" s="10">
        <v>4563.7709999999997</v>
      </c>
      <c r="E395" s="10">
        <v>244.578</v>
      </c>
    </row>
    <row r="396" spans="1:5" x14ac:dyDescent="0.2">
      <c r="A396" s="10" t="s">
        <v>344</v>
      </c>
      <c r="B396" s="11" t="s">
        <v>140</v>
      </c>
      <c r="C396" s="10">
        <v>11201.489</v>
      </c>
      <c r="D396" s="10">
        <v>4554.6350000000002</v>
      </c>
      <c r="E396" s="10">
        <v>246.05500000000001</v>
      </c>
    </row>
    <row r="397" spans="1:5" x14ac:dyDescent="0.2">
      <c r="A397" s="10" t="s">
        <v>345</v>
      </c>
      <c r="B397" s="11" t="s">
        <v>140</v>
      </c>
      <c r="C397" s="10">
        <v>11201.487999999999</v>
      </c>
      <c r="D397" s="10">
        <v>4554.6329999999998</v>
      </c>
      <c r="E397" s="10">
        <v>246.059</v>
      </c>
    </row>
    <row r="398" spans="1:5" x14ac:dyDescent="0.2">
      <c r="A398" s="10" t="s">
        <v>346</v>
      </c>
      <c r="B398" s="11" t="s">
        <v>141</v>
      </c>
      <c r="C398" s="10">
        <v>11218.471</v>
      </c>
      <c r="D398" s="10">
        <v>4546.9830000000002</v>
      </c>
      <c r="E398" s="10">
        <v>247.726</v>
      </c>
    </row>
    <row r="399" spans="1:5" x14ac:dyDescent="0.2">
      <c r="A399" s="10" t="s">
        <v>347</v>
      </c>
      <c r="B399" s="11" t="s">
        <v>141</v>
      </c>
      <c r="C399" s="10">
        <v>11218.472</v>
      </c>
      <c r="D399" s="10">
        <v>4546.9840000000004</v>
      </c>
      <c r="E399" s="10">
        <v>247.72499999999999</v>
      </c>
    </row>
    <row r="400" spans="1:5" x14ac:dyDescent="0.2">
      <c r="A400" s="10" t="s">
        <v>348</v>
      </c>
      <c r="B400" s="11" t="s">
        <v>142</v>
      </c>
      <c r="C400" s="10">
        <v>11237.973</v>
      </c>
      <c r="D400" s="10">
        <v>4539.192</v>
      </c>
      <c r="E400" s="10">
        <v>249.92400000000001</v>
      </c>
    </row>
    <row r="401" spans="1:5" x14ac:dyDescent="0.2">
      <c r="A401" s="10" t="s">
        <v>349</v>
      </c>
      <c r="B401" s="11" t="s">
        <v>142</v>
      </c>
      <c r="C401" s="10">
        <v>11237.973</v>
      </c>
      <c r="D401" s="10">
        <v>4539.192</v>
      </c>
      <c r="E401" s="10">
        <v>249.923</v>
      </c>
    </row>
    <row r="402" spans="1:5" x14ac:dyDescent="0.2">
      <c r="A402" s="10" t="s">
        <v>350</v>
      </c>
      <c r="B402" s="11" t="s">
        <v>143</v>
      </c>
      <c r="C402" s="10">
        <v>11256.143</v>
      </c>
      <c r="D402" s="10">
        <v>4535.0839999999998</v>
      </c>
      <c r="E402" s="10">
        <v>251.81399999999999</v>
      </c>
    </row>
    <row r="403" spans="1:5" x14ac:dyDescent="0.2">
      <c r="A403" s="10" t="s">
        <v>351</v>
      </c>
      <c r="B403" s="11" t="s">
        <v>143</v>
      </c>
      <c r="C403" s="10">
        <v>11256.143</v>
      </c>
      <c r="D403" s="10">
        <v>4535.0839999999998</v>
      </c>
      <c r="E403" s="10">
        <v>251.81399999999999</v>
      </c>
    </row>
    <row r="404" spans="1:5" x14ac:dyDescent="0.2">
      <c r="A404" s="10" t="s">
        <v>850</v>
      </c>
      <c r="B404" s="11" t="s">
        <v>484</v>
      </c>
      <c r="C404" s="10">
        <v>11316.784</v>
      </c>
      <c r="D404" s="10">
        <v>4512.8530000000001</v>
      </c>
      <c r="E404" s="10">
        <v>267.26</v>
      </c>
    </row>
    <row r="405" spans="1:5" x14ac:dyDescent="0.2">
      <c r="A405" s="10" t="s">
        <v>851</v>
      </c>
      <c r="B405" s="11" t="s">
        <v>484</v>
      </c>
      <c r="C405" s="10">
        <v>11316.785</v>
      </c>
      <c r="D405" s="10">
        <v>4512.8559999999998</v>
      </c>
      <c r="E405" s="10">
        <v>267.262</v>
      </c>
    </row>
    <row r="406" spans="1:5" x14ac:dyDescent="0.2">
      <c r="A406" s="10" t="s">
        <v>852</v>
      </c>
      <c r="B406" s="11" t="s">
        <v>484</v>
      </c>
      <c r="C406" s="10">
        <v>11316.785</v>
      </c>
      <c r="D406" s="10">
        <v>4512.8549999999996</v>
      </c>
      <c r="E406" s="10">
        <v>267.262</v>
      </c>
    </row>
    <row r="407" spans="1:5" x14ac:dyDescent="0.2">
      <c r="A407" s="10" t="s">
        <v>853</v>
      </c>
      <c r="B407" s="11" t="s">
        <v>484</v>
      </c>
      <c r="C407" s="10">
        <v>11316.784</v>
      </c>
      <c r="D407" s="10">
        <v>4512.8540000000003</v>
      </c>
      <c r="E407" s="10">
        <v>267.26</v>
      </c>
    </row>
    <row r="408" spans="1:5" x14ac:dyDescent="0.2">
      <c r="A408" s="10" t="s">
        <v>854</v>
      </c>
      <c r="B408" s="11" t="s">
        <v>362</v>
      </c>
      <c r="C408" s="10">
        <v>11100.837</v>
      </c>
      <c r="D408" s="10">
        <v>4669.2290000000003</v>
      </c>
      <c r="E408" s="10">
        <v>237.73099999999999</v>
      </c>
    </row>
    <row r="409" spans="1:5" x14ac:dyDescent="0.2">
      <c r="A409" s="10" t="s">
        <v>855</v>
      </c>
      <c r="B409" s="11" t="s">
        <v>362</v>
      </c>
      <c r="C409" s="10">
        <v>11100.833000000001</v>
      </c>
      <c r="D409" s="10">
        <v>4669.2269999999999</v>
      </c>
      <c r="E409" s="10">
        <v>237.74299999999999</v>
      </c>
    </row>
    <row r="410" spans="1:5" x14ac:dyDescent="0.2">
      <c r="A410" s="10" t="s">
        <v>713</v>
      </c>
      <c r="B410" s="11" t="s">
        <v>696</v>
      </c>
      <c r="C410" s="10">
        <v>11326.17</v>
      </c>
      <c r="D410" s="10">
        <v>4485.6490000000003</v>
      </c>
      <c r="E410" s="10">
        <v>272.70299999999997</v>
      </c>
    </row>
    <row r="411" spans="1:5" x14ac:dyDescent="0.2">
      <c r="A411" s="10" t="s">
        <v>714</v>
      </c>
      <c r="B411" s="11" t="s">
        <v>696</v>
      </c>
      <c r="C411" s="10">
        <v>11326.171</v>
      </c>
      <c r="D411" s="10">
        <v>4485.6480000000001</v>
      </c>
      <c r="E411" s="10">
        <v>272.7</v>
      </c>
    </row>
    <row r="412" spans="1:5" x14ac:dyDescent="0.2">
      <c r="A412" s="10"/>
      <c r="B412" s="11" t="s">
        <v>696</v>
      </c>
      <c r="C412" s="10"/>
      <c r="D412" s="10"/>
      <c r="E412" s="10"/>
    </row>
    <row r="413" spans="1:5" x14ac:dyDescent="0.2">
      <c r="A413" s="10" t="s">
        <v>470</v>
      </c>
      <c r="B413" s="11" t="s">
        <v>471</v>
      </c>
      <c r="C413" s="10">
        <v>11294.431</v>
      </c>
      <c r="D413" s="10">
        <v>4474.5069999999996</v>
      </c>
      <c r="E413" s="10">
        <v>269.59899999999999</v>
      </c>
    </row>
    <row r="414" spans="1:5" x14ac:dyDescent="0.2">
      <c r="A414" s="10" t="s">
        <v>472</v>
      </c>
      <c r="B414" s="11" t="s">
        <v>471</v>
      </c>
      <c r="C414" s="10">
        <v>11294.431</v>
      </c>
      <c r="D414" s="10">
        <v>4474.5060000000003</v>
      </c>
      <c r="E414" s="10">
        <v>269.60000000000002</v>
      </c>
    </row>
    <row r="415" spans="1:5" x14ac:dyDescent="0.2">
      <c r="A415" s="10" t="s">
        <v>473</v>
      </c>
      <c r="B415" s="11" t="s">
        <v>474</v>
      </c>
      <c r="C415" s="10">
        <v>11314.486000000001</v>
      </c>
      <c r="D415" s="10">
        <v>4482.7700000000004</v>
      </c>
      <c r="E415" s="10">
        <v>270.70999999999998</v>
      </c>
    </row>
    <row r="416" spans="1:5" x14ac:dyDescent="0.2">
      <c r="A416" s="10" t="s">
        <v>475</v>
      </c>
      <c r="B416" s="11" t="s">
        <v>474</v>
      </c>
      <c r="C416" s="10">
        <v>11314.486000000001</v>
      </c>
      <c r="D416" s="10">
        <v>4482.7700000000004</v>
      </c>
      <c r="E416" s="10">
        <v>270.70999999999998</v>
      </c>
    </row>
    <row r="417" spans="1:5" x14ac:dyDescent="0.2">
      <c r="A417" s="10" t="s">
        <v>856</v>
      </c>
      <c r="B417" s="11" t="s">
        <v>484</v>
      </c>
      <c r="C417" s="10">
        <v>11316.778</v>
      </c>
      <c r="D417" s="10">
        <v>4512.8519999999999</v>
      </c>
      <c r="E417" s="10">
        <v>267.25700000000001</v>
      </c>
    </row>
    <row r="418" spans="1:5" x14ac:dyDescent="0.2">
      <c r="A418" s="10" t="s">
        <v>857</v>
      </c>
      <c r="B418" s="11" t="s">
        <v>484</v>
      </c>
      <c r="C418" s="10">
        <v>11316.778</v>
      </c>
      <c r="D418" s="10">
        <v>4512.8519999999999</v>
      </c>
      <c r="E418" s="10">
        <v>267.25700000000001</v>
      </c>
    </row>
    <row r="419" spans="1:5" x14ac:dyDescent="0.2">
      <c r="A419" s="10" t="s">
        <v>858</v>
      </c>
      <c r="B419" s="11" t="s">
        <v>484</v>
      </c>
      <c r="C419" s="10">
        <v>11316.778</v>
      </c>
      <c r="D419" s="10">
        <v>4512.8509999999997</v>
      </c>
      <c r="E419" s="10">
        <v>267.25700000000001</v>
      </c>
    </row>
    <row r="420" spans="1:5" x14ac:dyDescent="0.2">
      <c r="A420" s="10" t="s">
        <v>859</v>
      </c>
      <c r="B420" s="11" t="s">
        <v>484</v>
      </c>
      <c r="C420" s="10">
        <v>11316.779</v>
      </c>
      <c r="D420" s="10">
        <v>4512.8519999999999</v>
      </c>
      <c r="E420" s="10">
        <v>267.25700000000001</v>
      </c>
    </row>
    <row r="421" spans="1:5" x14ac:dyDescent="0.2">
      <c r="A421" s="10" t="s">
        <v>476</v>
      </c>
      <c r="B421" s="11" t="s">
        <v>477</v>
      </c>
      <c r="C421" s="10">
        <v>11331.939</v>
      </c>
      <c r="D421" s="10">
        <v>4487.1260000000002</v>
      </c>
      <c r="E421" s="10">
        <v>270.5</v>
      </c>
    </row>
    <row r="422" spans="1:5" x14ac:dyDescent="0.2">
      <c r="A422" s="10" t="s">
        <v>478</v>
      </c>
      <c r="B422" s="11" t="s">
        <v>477</v>
      </c>
      <c r="C422" s="10">
        <v>11331.939</v>
      </c>
      <c r="D422" s="10">
        <v>4487.1260000000002</v>
      </c>
      <c r="E422" s="10">
        <v>270.5</v>
      </c>
    </row>
    <row r="423" spans="1:5" x14ac:dyDescent="0.2">
      <c r="A423" s="10" t="s">
        <v>479</v>
      </c>
      <c r="B423" s="11" t="s">
        <v>477</v>
      </c>
      <c r="C423" s="10">
        <v>11331.939</v>
      </c>
      <c r="D423" s="10">
        <v>4487.1270000000004</v>
      </c>
      <c r="E423" s="10">
        <v>270.5</v>
      </c>
    </row>
    <row r="424" spans="1:5" x14ac:dyDescent="0.2">
      <c r="A424" s="10" t="s">
        <v>480</v>
      </c>
      <c r="B424" s="11" t="s">
        <v>477</v>
      </c>
      <c r="C424" s="10">
        <v>11331.939</v>
      </c>
      <c r="D424" s="10">
        <v>4487.1270000000004</v>
      </c>
      <c r="E424" s="10">
        <v>270.5</v>
      </c>
    </row>
    <row r="425" spans="1:5" x14ac:dyDescent="0.2">
      <c r="A425" s="10" t="s">
        <v>860</v>
      </c>
      <c r="B425" s="11" t="s">
        <v>361</v>
      </c>
      <c r="C425" s="10">
        <v>11259.040999999999</v>
      </c>
      <c r="D425" s="10">
        <v>4523.2070000000003</v>
      </c>
      <c r="E425" s="10">
        <v>260.40699999999998</v>
      </c>
    </row>
    <row r="426" spans="1:5" x14ac:dyDescent="0.2">
      <c r="A426" s="10" t="s">
        <v>861</v>
      </c>
      <c r="B426" s="11" t="s">
        <v>361</v>
      </c>
      <c r="C426" s="10">
        <v>11259.039000000001</v>
      </c>
      <c r="D426" s="10">
        <v>4523.2039999999997</v>
      </c>
      <c r="E426" s="10">
        <v>260.41000000000003</v>
      </c>
    </row>
    <row r="427" spans="1:5" x14ac:dyDescent="0.2">
      <c r="A427" s="10" t="s">
        <v>862</v>
      </c>
      <c r="B427" s="11" t="s">
        <v>448</v>
      </c>
      <c r="C427" s="10">
        <v>11356.210999999999</v>
      </c>
      <c r="D427" s="10">
        <v>4488.2640000000001</v>
      </c>
      <c r="E427" s="10">
        <v>269.11599999999999</v>
      </c>
    </row>
    <row r="428" spans="1:5" x14ac:dyDescent="0.2">
      <c r="A428" s="10" t="s">
        <v>863</v>
      </c>
      <c r="B428" s="11" t="s">
        <v>448</v>
      </c>
      <c r="C428" s="10">
        <v>11356.210999999999</v>
      </c>
      <c r="D428" s="10">
        <v>4488.2640000000001</v>
      </c>
      <c r="E428" s="10">
        <v>269.11399999999998</v>
      </c>
    </row>
    <row r="429" spans="1:5" x14ac:dyDescent="0.2">
      <c r="A429" s="10"/>
      <c r="B429" s="11" t="s">
        <v>448</v>
      </c>
      <c r="C429" s="10"/>
      <c r="D429" s="10"/>
      <c r="E429" s="10"/>
    </row>
    <row r="430" spans="1:5" x14ac:dyDescent="0.2">
      <c r="A430" s="10" t="s">
        <v>481</v>
      </c>
      <c r="B430" s="11" t="s">
        <v>474</v>
      </c>
      <c r="C430" s="10">
        <v>11314.486999999999</v>
      </c>
      <c r="D430" s="10">
        <v>4482.7700000000004</v>
      </c>
      <c r="E430" s="10">
        <v>270.70800000000003</v>
      </c>
    </row>
    <row r="431" spans="1:5" x14ac:dyDescent="0.2">
      <c r="A431" s="10" t="s">
        <v>482</v>
      </c>
      <c r="B431" s="11" t="s">
        <v>474</v>
      </c>
      <c r="C431" s="10">
        <v>11314.486000000001</v>
      </c>
      <c r="D431" s="10">
        <v>4482.7759999999998</v>
      </c>
      <c r="E431" s="10">
        <v>270.709</v>
      </c>
    </row>
    <row r="432" spans="1:5" x14ac:dyDescent="0.2">
      <c r="A432" s="10" t="s">
        <v>483</v>
      </c>
      <c r="B432" s="11" t="s">
        <v>484</v>
      </c>
      <c r="C432" s="10">
        <v>11316.784</v>
      </c>
      <c r="D432" s="10">
        <v>4512.8549999999996</v>
      </c>
      <c r="E432" s="10">
        <v>267.25700000000001</v>
      </c>
    </row>
    <row r="433" spans="1:5" x14ac:dyDescent="0.2">
      <c r="A433" s="10" t="s">
        <v>485</v>
      </c>
      <c r="B433" s="11" t="s">
        <v>484</v>
      </c>
      <c r="C433" s="10">
        <v>11316.782999999999</v>
      </c>
      <c r="D433" s="10">
        <v>4512.8530000000001</v>
      </c>
      <c r="E433" s="10">
        <v>267.25900000000001</v>
      </c>
    </row>
    <row r="434" spans="1:5" x14ac:dyDescent="0.2">
      <c r="A434" s="10" t="s">
        <v>486</v>
      </c>
      <c r="B434" s="11" t="s">
        <v>477</v>
      </c>
      <c r="C434" s="10">
        <v>11331.939</v>
      </c>
      <c r="D434" s="10">
        <v>4487.125</v>
      </c>
      <c r="E434" s="10">
        <v>270.49900000000002</v>
      </c>
    </row>
    <row r="435" spans="1:5" x14ac:dyDescent="0.2">
      <c r="A435" s="10" t="s">
        <v>487</v>
      </c>
      <c r="B435" s="11" t="s">
        <v>477</v>
      </c>
      <c r="C435" s="10">
        <v>11331.939</v>
      </c>
      <c r="D435" s="10">
        <v>4487.125</v>
      </c>
      <c r="E435" s="10">
        <v>270.49900000000002</v>
      </c>
    </row>
    <row r="436" spans="1:5" x14ac:dyDescent="0.2">
      <c r="A436" s="10" t="s">
        <v>488</v>
      </c>
      <c r="B436" s="11" t="s">
        <v>477</v>
      </c>
      <c r="C436" s="10">
        <v>11331.939</v>
      </c>
      <c r="D436" s="10">
        <v>4487.1260000000002</v>
      </c>
      <c r="E436" s="10">
        <v>270.49900000000002</v>
      </c>
    </row>
    <row r="437" spans="1:5" x14ac:dyDescent="0.2">
      <c r="A437" s="10" t="s">
        <v>489</v>
      </c>
      <c r="B437" s="11" t="s">
        <v>477</v>
      </c>
      <c r="C437" s="10">
        <v>11331.939</v>
      </c>
      <c r="D437" s="10">
        <v>4487.125</v>
      </c>
      <c r="E437" s="10">
        <v>270.49900000000002</v>
      </c>
    </row>
    <row r="438" spans="1:5" x14ac:dyDescent="0.2">
      <c r="A438" s="10" t="s">
        <v>490</v>
      </c>
      <c r="B438" s="11" t="s">
        <v>491</v>
      </c>
      <c r="C438" s="10">
        <v>11335.536</v>
      </c>
      <c r="D438" s="10">
        <v>4516.1289999999999</v>
      </c>
      <c r="E438" s="10">
        <v>269.45699999999999</v>
      </c>
    </row>
    <row r="439" spans="1:5" x14ac:dyDescent="0.2">
      <c r="A439" s="10" t="s">
        <v>492</v>
      </c>
      <c r="B439" s="11" t="s">
        <v>491</v>
      </c>
      <c r="C439" s="10">
        <v>11335.536</v>
      </c>
      <c r="D439" s="10">
        <v>4516.1289999999999</v>
      </c>
      <c r="E439" s="10">
        <v>269.45800000000003</v>
      </c>
    </row>
    <row r="440" spans="1:5" x14ac:dyDescent="0.2">
      <c r="A440" s="10" t="s">
        <v>493</v>
      </c>
      <c r="B440" s="11" t="s">
        <v>494</v>
      </c>
      <c r="C440" s="10">
        <v>11354.196</v>
      </c>
      <c r="D440" s="10">
        <v>4488.57</v>
      </c>
      <c r="E440" s="10">
        <v>267.61900000000003</v>
      </c>
    </row>
    <row r="441" spans="1:5" x14ac:dyDescent="0.2">
      <c r="A441" s="10" t="s">
        <v>495</v>
      </c>
      <c r="B441" s="11" t="s">
        <v>494</v>
      </c>
      <c r="C441" s="10">
        <v>11354.196</v>
      </c>
      <c r="D441" s="10">
        <v>4488.57</v>
      </c>
      <c r="E441" s="10">
        <v>267.61900000000003</v>
      </c>
    </row>
    <row r="442" spans="1:5" x14ac:dyDescent="0.2">
      <c r="A442" s="10" t="s">
        <v>496</v>
      </c>
      <c r="B442" s="11" t="s">
        <v>497</v>
      </c>
      <c r="C442" s="10">
        <v>11351.044</v>
      </c>
      <c r="D442" s="10">
        <v>4517.53</v>
      </c>
      <c r="E442" s="10">
        <v>269.58</v>
      </c>
    </row>
    <row r="443" spans="1:5" x14ac:dyDescent="0.2">
      <c r="A443" s="10" t="s">
        <v>498</v>
      </c>
      <c r="B443" s="11" t="s">
        <v>497</v>
      </c>
      <c r="C443" s="10">
        <v>11351.045</v>
      </c>
      <c r="D443" s="10">
        <v>4517.53</v>
      </c>
      <c r="E443" s="10">
        <v>269.57900000000001</v>
      </c>
    </row>
    <row r="444" spans="1:5" x14ac:dyDescent="0.2">
      <c r="A444" s="10" t="s">
        <v>499</v>
      </c>
      <c r="B444" s="11" t="s">
        <v>500</v>
      </c>
      <c r="C444" s="10">
        <v>11378.505999999999</v>
      </c>
      <c r="D444" s="10">
        <v>4484.5789999999997</v>
      </c>
      <c r="E444" s="10">
        <v>262.55</v>
      </c>
    </row>
    <row r="445" spans="1:5" x14ac:dyDescent="0.2">
      <c r="A445" s="10" t="s">
        <v>501</v>
      </c>
      <c r="B445" s="11" t="s">
        <v>500</v>
      </c>
      <c r="C445" s="10">
        <v>11378.505999999999</v>
      </c>
      <c r="D445" s="10">
        <v>4484.5789999999997</v>
      </c>
      <c r="E445" s="10">
        <v>262.54899999999998</v>
      </c>
    </row>
    <row r="446" spans="1:5" x14ac:dyDescent="0.2">
      <c r="A446" s="10" t="s">
        <v>502</v>
      </c>
      <c r="B446" s="11" t="s">
        <v>500</v>
      </c>
      <c r="C446" s="10">
        <v>11378.505999999999</v>
      </c>
      <c r="D446" s="10">
        <v>4484.5789999999997</v>
      </c>
      <c r="E446" s="10">
        <v>262.55</v>
      </c>
    </row>
    <row r="447" spans="1:5" x14ac:dyDescent="0.2">
      <c r="A447" s="10" t="s">
        <v>503</v>
      </c>
      <c r="B447" s="11" t="s">
        <v>500</v>
      </c>
      <c r="C447" s="10">
        <v>11378.505999999999</v>
      </c>
      <c r="D447" s="10">
        <v>4484.5789999999997</v>
      </c>
      <c r="E447" s="10">
        <v>262.54899999999998</v>
      </c>
    </row>
    <row r="448" spans="1:5" x14ac:dyDescent="0.2">
      <c r="A448" s="10" t="s">
        <v>504</v>
      </c>
      <c r="B448" s="11" t="s">
        <v>505</v>
      </c>
      <c r="C448" s="10">
        <v>11374.334999999999</v>
      </c>
      <c r="D448" s="10">
        <v>4514.72</v>
      </c>
      <c r="E448" s="10">
        <v>266.58600000000001</v>
      </c>
    </row>
    <row r="449" spans="1:5" x14ac:dyDescent="0.2">
      <c r="A449" s="10" t="s">
        <v>506</v>
      </c>
      <c r="B449" s="11" t="s">
        <v>505</v>
      </c>
      <c r="C449" s="10">
        <v>11374.334999999999</v>
      </c>
      <c r="D449" s="10">
        <v>4514.7190000000001</v>
      </c>
      <c r="E449" s="10">
        <v>266.58699999999999</v>
      </c>
    </row>
    <row r="450" spans="1:5" x14ac:dyDescent="0.2">
      <c r="A450" s="10" t="s">
        <v>507</v>
      </c>
      <c r="B450" s="11" t="s">
        <v>508</v>
      </c>
      <c r="C450" s="10">
        <v>11398.329</v>
      </c>
      <c r="D450" s="10">
        <v>4480.9759999999997</v>
      </c>
      <c r="E450" s="10">
        <v>257.82499999999999</v>
      </c>
    </row>
    <row r="451" spans="1:5" x14ac:dyDescent="0.2">
      <c r="A451" s="10" t="s">
        <v>509</v>
      </c>
      <c r="B451" s="11" t="s">
        <v>508</v>
      </c>
      <c r="C451" s="10">
        <v>11398.33</v>
      </c>
      <c r="D451" s="10">
        <v>4480.9769999999999</v>
      </c>
      <c r="E451" s="10">
        <v>257.82600000000002</v>
      </c>
    </row>
    <row r="452" spans="1:5" x14ac:dyDescent="0.2">
      <c r="A452" s="10" t="s">
        <v>510</v>
      </c>
      <c r="B452" s="11" t="s">
        <v>511</v>
      </c>
      <c r="C452" s="10">
        <v>11393.44</v>
      </c>
      <c r="D452" s="10">
        <v>4507.7889999999998</v>
      </c>
      <c r="E452" s="10">
        <v>261.589</v>
      </c>
    </row>
    <row r="453" spans="1:5" x14ac:dyDescent="0.2">
      <c r="A453" s="10" t="s">
        <v>512</v>
      </c>
      <c r="B453" s="11" t="s">
        <v>511</v>
      </c>
      <c r="C453" s="10">
        <v>11393.439</v>
      </c>
      <c r="D453" s="10">
        <v>4507.79</v>
      </c>
      <c r="E453" s="10">
        <v>261.58999999999997</v>
      </c>
    </row>
    <row r="454" spans="1:5" x14ac:dyDescent="0.2">
      <c r="A454" s="10" t="s">
        <v>513</v>
      </c>
      <c r="B454" s="11" t="s">
        <v>514</v>
      </c>
      <c r="C454" s="10">
        <v>11416.741</v>
      </c>
      <c r="D454" s="10">
        <v>4477.683</v>
      </c>
      <c r="E454" s="10">
        <v>255.066</v>
      </c>
    </row>
    <row r="455" spans="1:5" x14ac:dyDescent="0.2">
      <c r="A455" s="10" t="s">
        <v>515</v>
      </c>
      <c r="B455" s="11" t="s">
        <v>514</v>
      </c>
      <c r="C455" s="10">
        <v>11416.74</v>
      </c>
      <c r="D455" s="10">
        <v>4477.6819999999998</v>
      </c>
      <c r="E455" s="10">
        <v>255.06299999999999</v>
      </c>
    </row>
    <row r="456" spans="1:5" x14ac:dyDescent="0.2">
      <c r="A456" s="10" t="s">
        <v>516</v>
      </c>
      <c r="B456" s="11" t="s">
        <v>517</v>
      </c>
      <c r="C456" s="10">
        <v>11413.504000000001</v>
      </c>
      <c r="D456" s="10">
        <v>4500.6899999999996</v>
      </c>
      <c r="E456" s="10">
        <v>258.03199999999998</v>
      </c>
    </row>
    <row r="457" spans="1:5" x14ac:dyDescent="0.2">
      <c r="A457" s="10" t="s">
        <v>518</v>
      </c>
      <c r="B457" s="11" t="s">
        <v>517</v>
      </c>
      <c r="C457" s="10">
        <v>11413.504000000001</v>
      </c>
      <c r="D457" s="10">
        <v>4500.6890000000003</v>
      </c>
      <c r="E457" s="10">
        <v>258.02999999999997</v>
      </c>
    </row>
    <row r="458" spans="1:5" x14ac:dyDescent="0.2">
      <c r="A458" s="10" t="s">
        <v>864</v>
      </c>
      <c r="B458" s="11" t="s">
        <v>696</v>
      </c>
      <c r="C458" s="10">
        <v>11326.17</v>
      </c>
      <c r="D458" s="10">
        <v>4485.6490000000003</v>
      </c>
      <c r="E458" s="10">
        <v>272.702</v>
      </c>
    </row>
    <row r="459" spans="1:5" x14ac:dyDescent="0.2">
      <c r="A459" s="10" t="s">
        <v>865</v>
      </c>
      <c r="B459" s="11" t="s">
        <v>696</v>
      </c>
      <c r="C459" s="10">
        <v>11326.171</v>
      </c>
      <c r="D459" s="10">
        <v>4485.6480000000001</v>
      </c>
      <c r="E459" s="10">
        <v>272.70299999999997</v>
      </c>
    </row>
    <row r="460" spans="1:5" x14ac:dyDescent="0.2">
      <c r="A460" s="10" t="s">
        <v>866</v>
      </c>
      <c r="B460" s="11" t="s">
        <v>771</v>
      </c>
      <c r="C460" s="10">
        <v>11360.866</v>
      </c>
      <c r="D460" s="10">
        <v>4486.7169999999996</v>
      </c>
      <c r="E460" s="10">
        <v>268.66000000000003</v>
      </c>
    </row>
    <row r="461" spans="1:5" x14ac:dyDescent="0.2">
      <c r="A461" s="10" t="s">
        <v>867</v>
      </c>
      <c r="B461" s="11" t="s">
        <v>771</v>
      </c>
      <c r="C461" s="10">
        <v>11360.867</v>
      </c>
      <c r="D461" s="10">
        <v>4486.7169999999996</v>
      </c>
      <c r="E461" s="10">
        <v>268.66000000000003</v>
      </c>
    </row>
    <row r="462" spans="1:5" x14ac:dyDescent="0.2">
      <c r="A462" s="10" t="s">
        <v>868</v>
      </c>
      <c r="B462" s="11" t="s">
        <v>519</v>
      </c>
      <c r="C462" s="10">
        <v>11450.504999999999</v>
      </c>
      <c r="D462" s="10">
        <v>4464.9229999999998</v>
      </c>
      <c r="E462" s="10">
        <v>251.95400000000001</v>
      </c>
    </row>
    <row r="463" spans="1:5" x14ac:dyDescent="0.2">
      <c r="A463" s="10" t="s">
        <v>869</v>
      </c>
      <c r="B463" s="11" t="s">
        <v>519</v>
      </c>
      <c r="C463" s="10">
        <v>11450.504000000001</v>
      </c>
      <c r="D463" s="10">
        <v>4464.9189999999999</v>
      </c>
      <c r="E463" s="10">
        <v>251.952</v>
      </c>
    </row>
    <row r="464" spans="1:5" x14ac:dyDescent="0.2">
      <c r="A464" s="10"/>
      <c r="B464" s="11" t="s">
        <v>771</v>
      </c>
      <c r="C464" s="10"/>
      <c r="D464" s="10"/>
      <c r="E464" s="10"/>
    </row>
    <row r="465" spans="1:5" x14ac:dyDescent="0.2">
      <c r="A465" s="10" t="s">
        <v>870</v>
      </c>
      <c r="B465" s="11" t="s">
        <v>497</v>
      </c>
      <c r="C465" s="10">
        <v>11351.057000000001</v>
      </c>
      <c r="D465" s="10">
        <v>4517.5280000000002</v>
      </c>
      <c r="E465" s="10">
        <v>269.57900000000001</v>
      </c>
    </row>
    <row r="466" spans="1:5" x14ac:dyDescent="0.2">
      <c r="A466" s="10" t="s">
        <v>871</v>
      </c>
      <c r="B466" s="11" t="s">
        <v>497</v>
      </c>
      <c r="C466" s="10">
        <v>11351.057000000001</v>
      </c>
      <c r="D466" s="10">
        <v>4517.5280000000002</v>
      </c>
      <c r="E466" s="10">
        <v>269.57799999999997</v>
      </c>
    </row>
    <row r="467" spans="1:5" x14ac:dyDescent="0.2">
      <c r="A467" s="10" t="s">
        <v>872</v>
      </c>
      <c r="B467" s="11" t="s">
        <v>500</v>
      </c>
      <c r="C467" s="10">
        <v>11378.514999999999</v>
      </c>
      <c r="D467" s="10">
        <v>4484.5749999999998</v>
      </c>
      <c r="E467" s="10">
        <v>262.55</v>
      </c>
    </row>
    <row r="468" spans="1:5" x14ac:dyDescent="0.2">
      <c r="A468" s="10" t="s">
        <v>873</v>
      </c>
      <c r="B468" s="11" t="s">
        <v>500</v>
      </c>
      <c r="C468" s="10">
        <v>11378.514999999999</v>
      </c>
      <c r="D468" s="10">
        <v>4484.5749999999998</v>
      </c>
      <c r="E468" s="10">
        <v>262.55</v>
      </c>
    </row>
    <row r="469" spans="1:5" x14ac:dyDescent="0.2">
      <c r="A469" s="10" t="s">
        <v>874</v>
      </c>
      <c r="B469" s="11" t="s">
        <v>505</v>
      </c>
      <c r="C469" s="10">
        <v>11374.334999999999</v>
      </c>
      <c r="D469" s="10">
        <v>4514.72</v>
      </c>
      <c r="E469" s="10">
        <v>266.58600000000001</v>
      </c>
    </row>
    <row r="470" spans="1:5" x14ac:dyDescent="0.2">
      <c r="A470" s="10" t="s">
        <v>875</v>
      </c>
      <c r="B470" s="11" t="s">
        <v>505</v>
      </c>
      <c r="C470" s="10">
        <v>11374.334999999999</v>
      </c>
      <c r="D470" s="10">
        <v>4514.7190000000001</v>
      </c>
      <c r="E470" s="10">
        <v>266.58699999999999</v>
      </c>
    </row>
    <row r="471" spans="1:5" x14ac:dyDescent="0.2">
      <c r="A471" s="10" t="s">
        <v>876</v>
      </c>
      <c r="B471" s="11" t="s">
        <v>511</v>
      </c>
      <c r="C471" s="10">
        <v>11393.450999999999</v>
      </c>
      <c r="D471" s="10">
        <v>4507.7830000000004</v>
      </c>
      <c r="E471" s="10">
        <v>261.58800000000002</v>
      </c>
    </row>
    <row r="472" spans="1:5" x14ac:dyDescent="0.2">
      <c r="A472" s="10" t="s">
        <v>877</v>
      </c>
      <c r="B472" s="11" t="s">
        <v>511</v>
      </c>
      <c r="C472" s="10">
        <v>11393.450999999999</v>
      </c>
      <c r="D472" s="10">
        <v>4507.7839999999997</v>
      </c>
      <c r="E472" s="10">
        <v>261.58999999999997</v>
      </c>
    </row>
    <row r="473" spans="1:5" x14ac:dyDescent="0.2">
      <c r="A473" s="10" t="s">
        <v>878</v>
      </c>
      <c r="B473" s="11" t="s">
        <v>448</v>
      </c>
      <c r="C473" s="10">
        <v>11356.218999999999</v>
      </c>
      <c r="D473" s="10">
        <v>4488.2610000000004</v>
      </c>
      <c r="E473" s="10">
        <v>269.11599999999999</v>
      </c>
    </row>
    <row r="474" spans="1:5" x14ac:dyDescent="0.2">
      <c r="A474" s="10" t="s">
        <v>879</v>
      </c>
      <c r="B474" s="11" t="s">
        <v>448</v>
      </c>
      <c r="C474" s="10">
        <v>11356.218999999999</v>
      </c>
      <c r="D474" s="10">
        <v>4488.2619999999997</v>
      </c>
      <c r="E474" s="10">
        <v>269.11599999999999</v>
      </c>
    </row>
    <row r="475" spans="1:5" x14ac:dyDescent="0.2">
      <c r="A475" s="10"/>
      <c r="B475" s="11" t="s">
        <v>519</v>
      </c>
      <c r="C475" s="10"/>
      <c r="D475" s="10"/>
      <c r="E475" s="10"/>
    </row>
    <row r="476" spans="1:5" x14ac:dyDescent="0.2">
      <c r="A476" s="10" t="s">
        <v>520</v>
      </c>
      <c r="B476" s="11" t="s">
        <v>500</v>
      </c>
      <c r="C476" s="10">
        <v>11378.504000000001</v>
      </c>
      <c r="D476" s="10">
        <v>4484.576</v>
      </c>
      <c r="E476" s="10">
        <v>262.54700000000003</v>
      </c>
    </row>
    <row r="477" spans="1:5" x14ac:dyDescent="0.2">
      <c r="A477" s="10" t="s">
        <v>521</v>
      </c>
      <c r="B477" s="11" t="s">
        <v>500</v>
      </c>
      <c r="C477" s="10">
        <v>11378.503000000001</v>
      </c>
      <c r="D477" s="10">
        <v>4484.5730000000003</v>
      </c>
      <c r="E477" s="10">
        <v>262.54899999999998</v>
      </c>
    </row>
    <row r="478" spans="1:5" x14ac:dyDescent="0.2">
      <c r="A478" s="10" t="s">
        <v>522</v>
      </c>
      <c r="B478" s="11" t="s">
        <v>500</v>
      </c>
      <c r="C478" s="10">
        <v>11378.503000000001</v>
      </c>
      <c r="D478" s="10">
        <v>4484.5739999999996</v>
      </c>
      <c r="E478" s="10">
        <v>262.54899999999998</v>
      </c>
    </row>
    <row r="479" spans="1:5" x14ac:dyDescent="0.2">
      <c r="A479" s="10" t="s">
        <v>523</v>
      </c>
      <c r="B479" s="11" t="s">
        <v>500</v>
      </c>
      <c r="C479" s="10">
        <v>11378.503000000001</v>
      </c>
      <c r="D479" s="10">
        <v>4484.576</v>
      </c>
      <c r="E479" s="10">
        <v>262.54599999999999</v>
      </c>
    </row>
    <row r="480" spans="1:5" x14ac:dyDescent="0.2">
      <c r="A480" s="10" t="s">
        <v>524</v>
      </c>
      <c r="B480" s="11" t="s">
        <v>508</v>
      </c>
      <c r="C480" s="10">
        <v>11398.326999999999</v>
      </c>
      <c r="D480" s="10">
        <v>4480.973</v>
      </c>
      <c r="E480" s="10">
        <v>257.822</v>
      </c>
    </row>
    <row r="481" spans="1:5" x14ac:dyDescent="0.2">
      <c r="A481" s="10" t="s">
        <v>525</v>
      </c>
      <c r="B481" s="11" t="s">
        <v>508</v>
      </c>
      <c r="C481" s="10">
        <v>11398.326999999999</v>
      </c>
      <c r="D481" s="10">
        <v>4480.9719999999998</v>
      </c>
      <c r="E481" s="10">
        <v>257.82400000000001</v>
      </c>
    </row>
    <row r="482" spans="1:5" x14ac:dyDescent="0.2">
      <c r="A482" s="10" t="s">
        <v>526</v>
      </c>
      <c r="B482" s="11" t="s">
        <v>514</v>
      </c>
      <c r="C482" s="10">
        <v>11416.737999999999</v>
      </c>
      <c r="D482" s="10">
        <v>4477.6790000000001</v>
      </c>
      <c r="E482" s="10">
        <v>255.06299999999999</v>
      </c>
    </row>
    <row r="483" spans="1:5" x14ac:dyDescent="0.2">
      <c r="A483" s="10" t="s">
        <v>527</v>
      </c>
      <c r="B483" s="11" t="s">
        <v>514</v>
      </c>
      <c r="C483" s="10">
        <v>11416.737999999999</v>
      </c>
      <c r="D483" s="10">
        <v>4477.6790000000001</v>
      </c>
      <c r="E483" s="10">
        <v>255.06200000000001</v>
      </c>
    </row>
    <row r="484" spans="1:5" x14ac:dyDescent="0.2">
      <c r="A484" s="10" t="s">
        <v>528</v>
      </c>
      <c r="B484" s="11" t="s">
        <v>529</v>
      </c>
      <c r="C484" s="10">
        <v>11436.298000000001</v>
      </c>
      <c r="D484" s="10">
        <v>4471.3649999999998</v>
      </c>
      <c r="E484" s="10">
        <v>252.21100000000001</v>
      </c>
    </row>
    <row r="485" spans="1:5" x14ac:dyDescent="0.2">
      <c r="A485" s="10" t="s">
        <v>530</v>
      </c>
      <c r="B485" s="11" t="s">
        <v>529</v>
      </c>
      <c r="C485" s="10">
        <v>11436.298000000001</v>
      </c>
      <c r="D485" s="10">
        <v>4471.3639999999996</v>
      </c>
      <c r="E485" s="10">
        <v>252.21100000000001</v>
      </c>
    </row>
    <row r="486" spans="1:5" x14ac:dyDescent="0.2">
      <c r="A486" s="10" t="s">
        <v>531</v>
      </c>
      <c r="B486" s="11" t="s">
        <v>532</v>
      </c>
      <c r="C486" s="10">
        <v>11456.393</v>
      </c>
      <c r="D486" s="10">
        <v>4464.107</v>
      </c>
      <c r="E486" s="10">
        <v>249.36</v>
      </c>
    </row>
    <row r="487" spans="1:5" x14ac:dyDescent="0.2">
      <c r="A487" s="10" t="s">
        <v>533</v>
      </c>
      <c r="B487" s="11" t="s">
        <v>532</v>
      </c>
      <c r="C487" s="10">
        <v>11456.394</v>
      </c>
      <c r="D487" s="10">
        <v>4464.107</v>
      </c>
      <c r="E487" s="10">
        <v>249.36</v>
      </c>
    </row>
    <row r="488" spans="1:5" x14ac:dyDescent="0.2">
      <c r="A488" s="10" t="s">
        <v>534</v>
      </c>
      <c r="B488" s="11" t="s">
        <v>535</v>
      </c>
      <c r="C488" s="10">
        <v>11473.790999999999</v>
      </c>
      <c r="D488" s="10">
        <v>4457.99</v>
      </c>
      <c r="E488" s="10">
        <v>247.21</v>
      </c>
    </row>
    <row r="489" spans="1:5" x14ac:dyDescent="0.2">
      <c r="A489" s="10" t="s">
        <v>536</v>
      </c>
      <c r="B489" s="11" t="s">
        <v>535</v>
      </c>
      <c r="C489" s="10">
        <v>11473.790999999999</v>
      </c>
      <c r="D489" s="10">
        <v>4457.99</v>
      </c>
      <c r="E489" s="10">
        <v>247.21</v>
      </c>
    </row>
    <row r="490" spans="1:5" x14ac:dyDescent="0.2">
      <c r="A490" s="10" t="s">
        <v>537</v>
      </c>
      <c r="B490" s="11" t="s">
        <v>538</v>
      </c>
      <c r="C490" s="10">
        <v>11494.044</v>
      </c>
      <c r="D490" s="10">
        <v>4450.7179999999998</v>
      </c>
      <c r="E490" s="10">
        <v>245.298</v>
      </c>
    </row>
    <row r="491" spans="1:5" x14ac:dyDescent="0.2">
      <c r="A491" s="10" t="s">
        <v>539</v>
      </c>
      <c r="B491" s="11" t="s">
        <v>538</v>
      </c>
      <c r="C491" s="10">
        <v>11494.044</v>
      </c>
      <c r="D491" s="10">
        <v>4450.7179999999998</v>
      </c>
      <c r="E491" s="10">
        <v>245.297</v>
      </c>
    </row>
    <row r="492" spans="1:5" x14ac:dyDescent="0.2">
      <c r="A492" s="10" t="s">
        <v>540</v>
      </c>
      <c r="B492" s="11" t="s">
        <v>541</v>
      </c>
      <c r="C492" s="10">
        <v>11512.41</v>
      </c>
      <c r="D492" s="10">
        <v>4444.2709999999997</v>
      </c>
      <c r="E492" s="10">
        <v>243.506</v>
      </c>
    </row>
    <row r="493" spans="1:5" x14ac:dyDescent="0.2">
      <c r="A493" s="10" t="s">
        <v>542</v>
      </c>
      <c r="B493" s="11" t="s">
        <v>541</v>
      </c>
      <c r="C493" s="10">
        <v>11512.411</v>
      </c>
      <c r="D493" s="10">
        <v>4444.2709999999997</v>
      </c>
      <c r="E493" s="10">
        <v>243.50800000000001</v>
      </c>
    </row>
    <row r="494" spans="1:5" x14ac:dyDescent="0.2">
      <c r="A494" s="10" t="s">
        <v>543</v>
      </c>
      <c r="B494" s="11" t="s">
        <v>544</v>
      </c>
      <c r="C494" s="10">
        <v>11530.273999999999</v>
      </c>
      <c r="D494" s="10">
        <v>4437.9840000000004</v>
      </c>
      <c r="E494" s="10">
        <v>241.96700000000001</v>
      </c>
    </row>
    <row r="495" spans="1:5" x14ac:dyDescent="0.2">
      <c r="A495" s="10" t="s">
        <v>545</v>
      </c>
      <c r="B495" s="11" t="s">
        <v>544</v>
      </c>
      <c r="C495" s="10">
        <v>11530.273999999999</v>
      </c>
      <c r="D495" s="10">
        <v>4437.9840000000004</v>
      </c>
      <c r="E495" s="10">
        <v>241.96600000000001</v>
      </c>
    </row>
    <row r="496" spans="1:5" x14ac:dyDescent="0.2">
      <c r="A496" s="10" t="s">
        <v>546</v>
      </c>
      <c r="B496" s="11" t="s">
        <v>544</v>
      </c>
      <c r="C496" s="10">
        <v>11530.272999999999</v>
      </c>
      <c r="D496" s="10">
        <v>4437.982</v>
      </c>
      <c r="E496" s="10">
        <v>241.965</v>
      </c>
    </row>
    <row r="497" spans="1:5" x14ac:dyDescent="0.2">
      <c r="A497" s="10" t="s">
        <v>547</v>
      </c>
      <c r="B497" s="11" t="s">
        <v>544</v>
      </c>
      <c r="C497" s="10">
        <v>11530.273999999999</v>
      </c>
      <c r="D497" s="10">
        <v>4437.9840000000004</v>
      </c>
      <c r="E497" s="10">
        <v>241.96700000000001</v>
      </c>
    </row>
    <row r="498" spans="1:5" x14ac:dyDescent="0.2">
      <c r="A498" s="10" t="s">
        <v>880</v>
      </c>
      <c r="B498" s="11" t="s">
        <v>448</v>
      </c>
      <c r="C498" s="10">
        <v>11356.209000000001</v>
      </c>
      <c r="D498" s="10">
        <v>4488.2640000000001</v>
      </c>
      <c r="E498" s="10">
        <v>269.11399999999998</v>
      </c>
    </row>
    <row r="499" spans="1:5" x14ac:dyDescent="0.2">
      <c r="A499" s="10" t="s">
        <v>881</v>
      </c>
      <c r="B499" s="11" t="s">
        <v>448</v>
      </c>
      <c r="C499" s="10">
        <v>11356.209000000001</v>
      </c>
      <c r="D499" s="10">
        <v>4488.2610000000004</v>
      </c>
      <c r="E499" s="10">
        <v>269.11599999999999</v>
      </c>
    </row>
    <row r="500" spans="1:5" x14ac:dyDescent="0.2">
      <c r="A500" s="10" t="s">
        <v>882</v>
      </c>
      <c r="B500" s="11" t="s">
        <v>548</v>
      </c>
      <c r="C500" s="10">
        <v>11636.13</v>
      </c>
      <c r="D500" s="10">
        <v>4389.8819999999996</v>
      </c>
      <c r="E500" s="10">
        <v>236.93299999999999</v>
      </c>
    </row>
    <row r="501" spans="1:5" x14ac:dyDescent="0.2">
      <c r="A501" s="10" t="s">
        <v>883</v>
      </c>
      <c r="B501" s="11" t="s">
        <v>548</v>
      </c>
      <c r="C501" s="10">
        <v>11636.129000000001</v>
      </c>
      <c r="D501" s="10">
        <v>4389.88</v>
      </c>
      <c r="E501" s="10">
        <v>236.92599999999999</v>
      </c>
    </row>
    <row r="502" spans="1:5" x14ac:dyDescent="0.2">
      <c r="A502" s="10"/>
      <c r="B502" s="11" t="s">
        <v>548</v>
      </c>
      <c r="C502" s="10"/>
      <c r="D502" s="10"/>
      <c r="E502" s="10"/>
    </row>
    <row r="503" spans="1:5" x14ac:dyDescent="0.2">
      <c r="A503" s="10" t="s">
        <v>549</v>
      </c>
      <c r="B503" s="11" t="s">
        <v>544</v>
      </c>
      <c r="C503" s="10">
        <v>11530.273999999999</v>
      </c>
      <c r="D503" s="10">
        <v>4437.982</v>
      </c>
      <c r="E503" s="10">
        <v>241.959</v>
      </c>
    </row>
    <row r="504" spans="1:5" x14ac:dyDescent="0.2">
      <c r="A504" s="10" t="s">
        <v>550</v>
      </c>
      <c r="B504" s="11" t="s">
        <v>544</v>
      </c>
      <c r="C504" s="10">
        <v>11530.273999999999</v>
      </c>
      <c r="D504" s="10">
        <v>4437.9830000000002</v>
      </c>
      <c r="E504" s="10">
        <v>241.95599999999999</v>
      </c>
    </row>
    <row r="505" spans="1:5" x14ac:dyDescent="0.2">
      <c r="A505" s="10" t="s">
        <v>551</v>
      </c>
      <c r="B505" s="11" t="s">
        <v>544</v>
      </c>
      <c r="C505" s="10">
        <v>11530.273999999999</v>
      </c>
      <c r="D505" s="10">
        <v>4437.9830000000002</v>
      </c>
      <c r="E505" s="10">
        <v>241.953</v>
      </c>
    </row>
    <row r="506" spans="1:5" x14ac:dyDescent="0.2">
      <c r="A506" s="10" t="s">
        <v>552</v>
      </c>
      <c r="B506" s="11" t="s">
        <v>544</v>
      </c>
      <c r="C506" s="10">
        <v>11530.272999999999</v>
      </c>
      <c r="D506" s="10">
        <v>4437.9809999999998</v>
      </c>
      <c r="E506" s="10">
        <v>241.959</v>
      </c>
    </row>
    <row r="507" spans="1:5" x14ac:dyDescent="0.2">
      <c r="A507" s="10" t="s">
        <v>553</v>
      </c>
      <c r="B507" s="11" t="s">
        <v>554</v>
      </c>
      <c r="C507" s="10">
        <v>11547.945</v>
      </c>
      <c r="D507" s="10">
        <v>4431.674</v>
      </c>
      <c r="E507" s="10">
        <v>240.77600000000001</v>
      </c>
    </row>
    <row r="508" spans="1:5" x14ac:dyDescent="0.2">
      <c r="A508" s="10" t="s">
        <v>555</v>
      </c>
      <c r="B508" s="11" t="s">
        <v>554</v>
      </c>
      <c r="C508" s="10">
        <v>11547.946</v>
      </c>
      <c r="D508" s="10">
        <v>4431.6760000000004</v>
      </c>
      <c r="E508" s="10">
        <v>240.77699999999999</v>
      </c>
    </row>
    <row r="509" spans="1:5" x14ac:dyDescent="0.2">
      <c r="A509" s="10" t="s">
        <v>556</v>
      </c>
      <c r="B509" s="11" t="s">
        <v>557</v>
      </c>
      <c r="C509" s="10">
        <v>11565.710999999999</v>
      </c>
      <c r="D509" s="10">
        <v>4425.3980000000001</v>
      </c>
      <c r="E509" s="10">
        <v>239.50700000000001</v>
      </c>
    </row>
    <row r="510" spans="1:5" x14ac:dyDescent="0.2">
      <c r="A510" s="10" t="s">
        <v>558</v>
      </c>
      <c r="B510" s="11" t="s">
        <v>557</v>
      </c>
      <c r="C510" s="10">
        <v>11565.710999999999</v>
      </c>
      <c r="D510" s="10">
        <v>4425.3980000000001</v>
      </c>
      <c r="E510" s="10">
        <v>239.51</v>
      </c>
    </row>
    <row r="511" spans="1:5" x14ac:dyDescent="0.2">
      <c r="A511" s="10" t="s">
        <v>559</v>
      </c>
      <c r="B511" s="11" t="s">
        <v>560</v>
      </c>
      <c r="C511" s="10">
        <v>11586.055</v>
      </c>
      <c r="D511" s="10">
        <v>4417.9539999999997</v>
      </c>
      <c r="E511" s="10">
        <v>238.07499999999999</v>
      </c>
    </row>
    <row r="512" spans="1:5" x14ac:dyDescent="0.2">
      <c r="A512" s="10" t="s">
        <v>561</v>
      </c>
      <c r="B512" s="11" t="s">
        <v>560</v>
      </c>
      <c r="C512" s="10">
        <v>11586.055</v>
      </c>
      <c r="D512" s="10">
        <v>4417.9539999999997</v>
      </c>
      <c r="E512" s="10">
        <v>238.07599999999999</v>
      </c>
    </row>
    <row r="513" spans="1:5" x14ac:dyDescent="0.2">
      <c r="A513" s="10" t="s">
        <v>562</v>
      </c>
      <c r="B513" s="11" t="s">
        <v>563</v>
      </c>
      <c r="C513" s="10">
        <v>11603.592000000001</v>
      </c>
      <c r="D513" s="10">
        <v>4411.5929999999998</v>
      </c>
      <c r="E513" s="10">
        <v>237.00800000000001</v>
      </c>
    </row>
    <row r="514" spans="1:5" x14ac:dyDescent="0.2">
      <c r="A514" s="10" t="s">
        <v>564</v>
      </c>
      <c r="B514" s="11" t="s">
        <v>563</v>
      </c>
      <c r="C514" s="10">
        <v>11603.592000000001</v>
      </c>
      <c r="D514" s="10">
        <v>4411.5929999999998</v>
      </c>
      <c r="E514" s="10">
        <v>237.006</v>
      </c>
    </row>
    <row r="515" spans="1:5" x14ac:dyDescent="0.2">
      <c r="A515" s="10" t="s">
        <v>565</v>
      </c>
      <c r="B515" s="11" t="s">
        <v>566</v>
      </c>
      <c r="C515" s="10">
        <v>11623.094999999999</v>
      </c>
      <c r="D515" s="10">
        <v>4404.1530000000002</v>
      </c>
      <c r="E515" s="10">
        <v>235.96899999999999</v>
      </c>
    </row>
    <row r="516" spans="1:5" x14ac:dyDescent="0.2">
      <c r="A516" s="10" t="s">
        <v>567</v>
      </c>
      <c r="B516" s="11" t="s">
        <v>566</v>
      </c>
      <c r="C516" s="10">
        <v>11623.093999999999</v>
      </c>
      <c r="D516" s="10">
        <v>4404.1540000000005</v>
      </c>
      <c r="E516" s="10">
        <v>235.96899999999999</v>
      </c>
    </row>
    <row r="517" spans="1:5" x14ac:dyDescent="0.2">
      <c r="A517" s="10" t="s">
        <v>568</v>
      </c>
      <c r="B517" s="11" t="s">
        <v>569</v>
      </c>
      <c r="C517" s="10">
        <v>11640.251</v>
      </c>
      <c r="D517" s="10">
        <v>4397.308</v>
      </c>
      <c r="E517" s="10">
        <v>235.17699999999999</v>
      </c>
    </row>
    <row r="518" spans="1:5" x14ac:dyDescent="0.2">
      <c r="A518" s="10" t="s">
        <v>570</v>
      </c>
      <c r="B518" s="11" t="s">
        <v>569</v>
      </c>
      <c r="C518" s="10">
        <v>11640.251</v>
      </c>
      <c r="D518" s="10">
        <v>4397.3090000000002</v>
      </c>
      <c r="E518" s="10">
        <v>235.17699999999999</v>
      </c>
    </row>
    <row r="519" spans="1:5" x14ac:dyDescent="0.2">
      <c r="A519" s="10" t="s">
        <v>571</v>
      </c>
      <c r="B519" s="11" t="s">
        <v>572</v>
      </c>
      <c r="C519" s="10">
        <v>11659.049000000001</v>
      </c>
      <c r="D519" s="10">
        <v>4387.835</v>
      </c>
      <c r="E519" s="10">
        <v>234.46600000000001</v>
      </c>
    </row>
    <row r="520" spans="1:5" x14ac:dyDescent="0.2">
      <c r="A520" s="10" t="s">
        <v>573</v>
      </c>
      <c r="B520" s="11" t="s">
        <v>572</v>
      </c>
      <c r="C520" s="10">
        <v>11659.049000000001</v>
      </c>
      <c r="D520" s="10">
        <v>4387.835</v>
      </c>
      <c r="E520" s="10">
        <v>234.46600000000001</v>
      </c>
    </row>
    <row r="521" spans="1:5" x14ac:dyDescent="0.2">
      <c r="A521" s="10" t="s">
        <v>574</v>
      </c>
      <c r="B521" s="11" t="s">
        <v>575</v>
      </c>
      <c r="C521" s="10">
        <v>11673.679</v>
      </c>
      <c r="D521" s="10">
        <v>4378.0460000000003</v>
      </c>
      <c r="E521" s="10">
        <v>233.93899999999999</v>
      </c>
    </row>
    <row r="522" spans="1:5" x14ac:dyDescent="0.2">
      <c r="A522" s="10" t="s">
        <v>576</v>
      </c>
      <c r="B522" s="11" t="s">
        <v>575</v>
      </c>
      <c r="C522" s="10">
        <v>11673.678</v>
      </c>
      <c r="D522" s="10">
        <v>4378.0460000000003</v>
      </c>
      <c r="E522" s="10">
        <v>233.93700000000001</v>
      </c>
    </row>
    <row r="523" spans="1:5" x14ac:dyDescent="0.2">
      <c r="A523" s="10" t="s">
        <v>577</v>
      </c>
      <c r="B523" s="11" t="s">
        <v>578</v>
      </c>
      <c r="C523" s="10">
        <v>11691.808000000001</v>
      </c>
      <c r="D523" s="10">
        <v>4366.0659999999998</v>
      </c>
      <c r="E523" s="10">
        <v>233.35499999999999</v>
      </c>
    </row>
    <row r="524" spans="1:5" x14ac:dyDescent="0.2">
      <c r="A524" s="10" t="s">
        <v>579</v>
      </c>
      <c r="B524" s="11" t="s">
        <v>578</v>
      </c>
      <c r="C524" s="10">
        <v>11691.808999999999</v>
      </c>
      <c r="D524" s="10">
        <v>4366.067</v>
      </c>
      <c r="E524" s="10">
        <v>233.357</v>
      </c>
    </row>
    <row r="525" spans="1:5" x14ac:dyDescent="0.2">
      <c r="A525" s="10" t="s">
        <v>580</v>
      </c>
      <c r="B525" s="11" t="s">
        <v>581</v>
      </c>
      <c r="C525" s="10">
        <v>11707.172</v>
      </c>
      <c r="D525" s="10">
        <v>4355.8249999999998</v>
      </c>
      <c r="E525" s="10">
        <v>232.535</v>
      </c>
    </row>
    <row r="526" spans="1:5" x14ac:dyDescent="0.2">
      <c r="A526" s="10" t="s">
        <v>582</v>
      </c>
      <c r="B526" s="11" t="s">
        <v>581</v>
      </c>
      <c r="C526" s="10">
        <v>11707.171</v>
      </c>
      <c r="D526" s="10">
        <v>4355.8230000000003</v>
      </c>
      <c r="E526" s="10">
        <v>232.53200000000001</v>
      </c>
    </row>
    <row r="527" spans="1:5" x14ac:dyDescent="0.2">
      <c r="A527" s="10" t="s">
        <v>583</v>
      </c>
      <c r="B527" s="11" t="s">
        <v>584</v>
      </c>
      <c r="C527" s="10">
        <v>11725.406000000001</v>
      </c>
      <c r="D527" s="10">
        <v>4343.7290000000003</v>
      </c>
      <c r="E527" s="10">
        <v>231.81100000000001</v>
      </c>
    </row>
    <row r="528" spans="1:5" x14ac:dyDescent="0.2">
      <c r="A528" s="10" t="s">
        <v>585</v>
      </c>
      <c r="B528" s="11" t="s">
        <v>584</v>
      </c>
      <c r="C528" s="10">
        <v>11725.407999999999</v>
      </c>
      <c r="D528" s="10">
        <v>4343.7330000000002</v>
      </c>
      <c r="E528" s="10">
        <v>231.815</v>
      </c>
    </row>
    <row r="529" spans="1:5" x14ac:dyDescent="0.2">
      <c r="A529" s="10" t="s">
        <v>586</v>
      </c>
      <c r="B529" s="11" t="s">
        <v>587</v>
      </c>
      <c r="C529" s="10">
        <v>11739.056</v>
      </c>
      <c r="D529" s="10">
        <v>4335.9290000000001</v>
      </c>
      <c r="E529" s="10">
        <v>231.30199999999999</v>
      </c>
    </row>
    <row r="530" spans="1:5" x14ac:dyDescent="0.2">
      <c r="A530" s="10" t="s">
        <v>588</v>
      </c>
      <c r="B530" s="11" t="s">
        <v>587</v>
      </c>
      <c r="C530" s="10">
        <v>11739.055</v>
      </c>
      <c r="D530" s="10">
        <v>4335.9269999999997</v>
      </c>
      <c r="E530" s="10">
        <v>231.29400000000001</v>
      </c>
    </row>
    <row r="531" spans="1:5" x14ac:dyDescent="0.2">
      <c r="A531" s="10" t="s">
        <v>589</v>
      </c>
      <c r="B531" s="11" t="s">
        <v>587</v>
      </c>
      <c r="C531" s="10">
        <v>11739.054</v>
      </c>
      <c r="D531" s="10">
        <v>4335.9250000000002</v>
      </c>
      <c r="E531" s="10">
        <v>231.29400000000001</v>
      </c>
    </row>
    <row r="532" spans="1:5" x14ac:dyDescent="0.2">
      <c r="A532" s="10" t="s">
        <v>590</v>
      </c>
      <c r="B532" s="11" t="s">
        <v>587</v>
      </c>
      <c r="C532" s="10">
        <v>11739.055</v>
      </c>
      <c r="D532" s="10">
        <v>4335.9269999999997</v>
      </c>
      <c r="E532" s="10">
        <v>231.30199999999999</v>
      </c>
    </row>
    <row r="533" spans="1:5" x14ac:dyDescent="0.2">
      <c r="A533" s="10" t="s">
        <v>884</v>
      </c>
      <c r="B533" s="11" t="s">
        <v>519</v>
      </c>
      <c r="C533" s="10">
        <v>11450.504999999999</v>
      </c>
      <c r="D533" s="10">
        <v>4464.92</v>
      </c>
      <c r="E533" s="10">
        <v>251.93700000000001</v>
      </c>
    </row>
    <row r="534" spans="1:5" x14ac:dyDescent="0.2">
      <c r="A534" s="10" t="s">
        <v>885</v>
      </c>
      <c r="B534" s="11" t="s">
        <v>519</v>
      </c>
      <c r="C534" s="10">
        <v>11450.502</v>
      </c>
      <c r="D534" s="10">
        <v>4464.9120000000003</v>
      </c>
      <c r="E534" s="10">
        <v>251.94200000000001</v>
      </c>
    </row>
  </sheetData>
  <sortState ref="Q41:Z44">
    <sortCondition ref="Q41"/>
  </sortState>
  <mergeCells count="8">
    <mergeCell ref="L52:O52"/>
    <mergeCell ref="B18:E18"/>
    <mergeCell ref="H18:J18"/>
    <mergeCell ref="A2:J3"/>
    <mergeCell ref="B14:C14"/>
    <mergeCell ref="L18:N18"/>
    <mergeCell ref="L26:N26"/>
    <mergeCell ref="L39:N39"/>
  </mergeCells>
  <phoneticPr fontId="7" type="noConversion"/>
  <dataValidations count="1">
    <dataValidation type="list" allowBlank="1" showInputMessage="1" showErrorMessage="1" sqref="B12" xr:uid="{00000000-0002-0000-0000-000000000000}">
      <formula1>"2D,3D"</formula1>
    </dataValidation>
  </dataValidations>
  <pageMargins left="0.75" right="0.75" top="1" bottom="1" header="0.5" footer="0.5"/>
  <pageSetup paperSize="9" orientation="portrait" r:id="rId1"/>
  <headerFooter alignWithMargins="0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1359A-4FB1-44CB-952D-50A11D11359C}">
  <sheetPr codeName="Sheet5">
    <tabColor rgb="FFFF3399"/>
  </sheetPr>
  <dimension ref="A1:O59"/>
  <sheetViews>
    <sheetView topLeftCell="A4" workbookViewId="0">
      <selection activeCell="D67" sqref="D67"/>
    </sheetView>
  </sheetViews>
  <sheetFormatPr defaultRowHeight="12.75" x14ac:dyDescent="0.2"/>
  <cols>
    <col min="2" max="2" width="13.85546875" customWidth="1"/>
    <col min="3" max="3" width="12.42578125" customWidth="1"/>
    <col min="4" max="4" width="14.85546875" customWidth="1"/>
    <col min="5" max="5" width="15.28515625" customWidth="1"/>
    <col min="6" max="6" width="15.140625" customWidth="1"/>
    <col min="7" max="7" width="37.5703125" customWidth="1"/>
    <col min="8" max="8" width="13.28515625" customWidth="1"/>
    <col min="9" max="9" width="16.42578125" customWidth="1"/>
    <col min="10" max="10" width="22.42578125" customWidth="1"/>
    <col min="11" max="11" width="22.7109375" customWidth="1"/>
    <col min="12" max="12" width="13.5703125" customWidth="1"/>
    <col min="13" max="13" width="15" customWidth="1"/>
    <col min="14" max="14" width="12.42578125" customWidth="1"/>
    <col min="15" max="15" width="13.5703125" customWidth="1"/>
  </cols>
  <sheetData>
    <row r="1" spans="1:15" ht="26.25" x14ac:dyDescent="0.4">
      <c r="A1" s="109" t="s">
        <v>413</v>
      </c>
    </row>
    <row r="3" spans="1:15" s="57" customFormat="1" ht="15.75" x14ac:dyDescent="0.25">
      <c r="A3" s="127" t="s">
        <v>450</v>
      </c>
    </row>
    <row r="4" spans="1:15" x14ac:dyDescent="0.2">
      <c r="B4" t="s">
        <v>453</v>
      </c>
      <c r="C4" s="57" t="s">
        <v>454</v>
      </c>
      <c r="D4" s="57"/>
      <c r="E4" s="57"/>
      <c r="F4" s="57"/>
      <c r="G4" s="57"/>
    </row>
    <row r="5" spans="1:15" s="57" customFormat="1" x14ac:dyDescent="0.2"/>
    <row r="6" spans="1:15" ht="21" x14ac:dyDescent="0.35">
      <c r="B6" s="110" t="s">
        <v>414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</row>
    <row r="7" spans="1:15" x14ac:dyDescent="0.2">
      <c r="B7" s="111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</row>
    <row r="8" spans="1:15" x14ac:dyDescent="0.2">
      <c r="B8" s="213" t="s">
        <v>415</v>
      </c>
      <c r="C8" s="213"/>
      <c r="D8" s="213"/>
      <c r="E8" s="213"/>
      <c r="F8" s="213"/>
      <c r="G8" s="213"/>
      <c r="H8" s="214" t="s">
        <v>416</v>
      </c>
      <c r="I8" s="214"/>
      <c r="J8" s="214"/>
      <c r="K8" s="214"/>
      <c r="L8" s="214"/>
      <c r="M8" s="214"/>
      <c r="N8" s="214"/>
      <c r="O8" s="214"/>
    </row>
    <row r="9" spans="1:15" ht="15" x14ac:dyDescent="0.25">
      <c r="B9" s="112" t="s">
        <v>7</v>
      </c>
      <c r="C9" s="112" t="s">
        <v>417</v>
      </c>
      <c r="D9" s="112" t="s">
        <v>418</v>
      </c>
      <c r="E9" s="112" t="s">
        <v>419</v>
      </c>
      <c r="F9" s="112" t="s">
        <v>420</v>
      </c>
      <c r="G9" s="112" t="s">
        <v>421</v>
      </c>
      <c r="H9" s="112" t="s">
        <v>7</v>
      </c>
      <c r="I9" s="112" t="s">
        <v>417</v>
      </c>
      <c r="J9" s="112" t="s">
        <v>418</v>
      </c>
      <c r="K9" s="112" t="s">
        <v>419</v>
      </c>
      <c r="L9" s="113" t="s">
        <v>422</v>
      </c>
      <c r="M9" s="114" t="s">
        <v>423</v>
      </c>
      <c r="N9" s="114" t="s">
        <v>424</v>
      </c>
      <c r="O9" s="114" t="s">
        <v>367</v>
      </c>
    </row>
    <row r="10" spans="1:15" ht="15" x14ac:dyDescent="0.25">
      <c r="B10" s="115" t="s">
        <v>425</v>
      </c>
      <c r="C10" s="116">
        <v>288032.17979999998</v>
      </c>
      <c r="D10" s="116">
        <v>6215219.6415999997</v>
      </c>
      <c r="E10" s="116">
        <v>135.75426515151514</v>
      </c>
      <c r="F10" s="117" t="s">
        <v>426</v>
      </c>
      <c r="G10" s="117" t="s">
        <v>427</v>
      </c>
      <c r="H10" s="115" t="s">
        <v>425</v>
      </c>
      <c r="I10" s="118">
        <v>288032.17680000002</v>
      </c>
      <c r="J10" s="118">
        <v>6215219.6031999998</v>
      </c>
      <c r="K10" s="118">
        <v>135.71350000000001</v>
      </c>
      <c r="L10" s="119">
        <v>-2.9999999678693712</v>
      </c>
      <c r="M10" s="119">
        <v>-38.399999961256981</v>
      </c>
      <c r="N10" s="120">
        <v>-40.765151515131492</v>
      </c>
      <c r="O10" s="121"/>
    </row>
    <row r="11" spans="1:15" ht="15" x14ac:dyDescent="0.25">
      <c r="B11" s="115" t="s">
        <v>428</v>
      </c>
      <c r="C11" s="116">
        <v>288788.73259999999</v>
      </c>
      <c r="D11" s="116">
        <v>6215161.9631000003</v>
      </c>
      <c r="E11" s="116">
        <v>127.78440909090908</v>
      </c>
      <c r="F11" s="117" t="s">
        <v>59</v>
      </c>
      <c r="G11" s="117" t="s">
        <v>427</v>
      </c>
      <c r="H11" s="115" t="s">
        <v>429</v>
      </c>
      <c r="I11" s="118">
        <v>288788.72379999998</v>
      </c>
      <c r="J11" s="118">
        <v>6215161.9641000004</v>
      </c>
      <c r="K11" s="118">
        <v>127.7444</v>
      </c>
      <c r="L11" s="120">
        <v>-8.8000000105239451</v>
      </c>
      <c r="M11" s="120">
        <v>1.0000001639127731</v>
      </c>
      <c r="N11" s="120">
        <v>-40.009090909080669</v>
      </c>
      <c r="O11" s="121"/>
    </row>
    <row r="12" spans="1:15" ht="15" x14ac:dyDescent="0.25">
      <c r="B12" s="115" t="s">
        <v>430</v>
      </c>
      <c r="C12" s="116">
        <v>289079.9964</v>
      </c>
      <c r="D12" s="116">
        <v>6214859.0722000003</v>
      </c>
      <c r="E12" s="116">
        <v>119.02300000000001</v>
      </c>
      <c r="F12" s="117" t="s">
        <v>59</v>
      </c>
      <c r="G12" s="117" t="s">
        <v>431</v>
      </c>
      <c r="H12" s="115" t="s">
        <v>430</v>
      </c>
      <c r="I12" s="118">
        <v>289080.00040000002</v>
      </c>
      <c r="J12" s="118">
        <v>6214859.0739000002</v>
      </c>
      <c r="K12" s="118">
        <v>118.9843</v>
      </c>
      <c r="L12" s="120">
        <v>4.0000000153668225</v>
      </c>
      <c r="M12" s="120">
        <v>1.6999999061226845</v>
      </c>
      <c r="N12" s="120">
        <v>-38.70000000000573</v>
      </c>
      <c r="O12" s="121"/>
    </row>
    <row r="13" spans="1:15" x14ac:dyDescent="0.2"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</row>
    <row r="14" spans="1:15" x14ac:dyDescent="0.2">
      <c r="B14" s="57"/>
      <c r="C14" s="57"/>
      <c r="D14" s="57"/>
      <c r="E14" s="57"/>
      <c r="F14" s="57"/>
      <c r="G14" s="57"/>
      <c r="H14" s="57"/>
      <c r="I14" s="57"/>
      <c r="J14" s="57" t="s">
        <v>432</v>
      </c>
      <c r="K14" s="57"/>
      <c r="L14" s="57"/>
      <c r="M14" s="57"/>
      <c r="N14" s="57"/>
      <c r="O14" s="57"/>
    </row>
    <row r="15" spans="1:15" x14ac:dyDescent="0.2"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</row>
    <row r="16" spans="1:15" x14ac:dyDescent="0.2"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</row>
    <row r="17" spans="1:15" ht="21" x14ac:dyDescent="0.35">
      <c r="B17" s="110" t="s">
        <v>433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</row>
    <row r="18" spans="1:15" x14ac:dyDescent="0.2">
      <c r="B18" s="111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</row>
    <row r="19" spans="1:15" x14ac:dyDescent="0.2">
      <c r="B19" s="213" t="s">
        <v>415</v>
      </c>
      <c r="C19" s="213"/>
      <c r="D19" s="213"/>
      <c r="E19" s="213"/>
      <c r="F19" s="213"/>
      <c r="G19" s="213"/>
      <c r="H19" s="214" t="s">
        <v>416</v>
      </c>
      <c r="I19" s="214"/>
      <c r="J19" s="214"/>
      <c r="K19" s="214"/>
      <c r="L19" s="214"/>
      <c r="M19" s="214"/>
      <c r="N19" s="214"/>
      <c r="O19" s="214"/>
    </row>
    <row r="20" spans="1:15" ht="15" x14ac:dyDescent="0.25">
      <c r="B20" s="112" t="s">
        <v>7</v>
      </c>
      <c r="C20" s="112" t="s">
        <v>417</v>
      </c>
      <c r="D20" s="112" t="s">
        <v>418</v>
      </c>
      <c r="E20" s="112" t="s">
        <v>419</v>
      </c>
      <c r="F20" s="112" t="s">
        <v>420</v>
      </c>
      <c r="G20" s="112" t="s">
        <v>421</v>
      </c>
      <c r="H20" s="112" t="s">
        <v>7</v>
      </c>
      <c r="I20" s="112" t="s">
        <v>417</v>
      </c>
      <c r="J20" s="112" t="s">
        <v>418</v>
      </c>
      <c r="K20" s="112" t="s">
        <v>419</v>
      </c>
      <c r="L20" s="113" t="s">
        <v>422</v>
      </c>
      <c r="M20" s="114" t="s">
        <v>423</v>
      </c>
      <c r="N20" s="114" t="s">
        <v>424</v>
      </c>
      <c r="O20" s="114" t="s">
        <v>367</v>
      </c>
    </row>
    <row r="21" spans="1:15" ht="15" x14ac:dyDescent="0.25">
      <c r="B21" s="115" t="s">
        <v>434</v>
      </c>
      <c r="C21" s="116">
        <v>289115.0943</v>
      </c>
      <c r="D21" s="116">
        <v>6215484.6886999998</v>
      </c>
      <c r="E21" s="116">
        <v>117.07721604938274</v>
      </c>
      <c r="F21" s="117" t="s">
        <v>59</v>
      </c>
      <c r="G21" s="117" t="s">
        <v>435</v>
      </c>
      <c r="H21" s="115" t="s">
        <v>434</v>
      </c>
      <c r="I21" s="118">
        <v>289115.09259999997</v>
      </c>
      <c r="J21" s="118">
        <v>6215484.6868000003</v>
      </c>
      <c r="K21" s="118">
        <v>117.05110000000001</v>
      </c>
      <c r="L21" s="119">
        <v>-1.7000000225380063</v>
      </c>
      <c r="M21" s="119">
        <v>-1.8999995663762093</v>
      </c>
      <c r="N21" s="120">
        <v>-26.116049382736151</v>
      </c>
      <c r="O21" s="121"/>
    </row>
    <row r="22" spans="1:15" ht="15" x14ac:dyDescent="0.25">
      <c r="B22" s="115" t="s">
        <v>436</v>
      </c>
      <c r="C22" s="116">
        <v>289122.54960000003</v>
      </c>
      <c r="D22" s="116">
        <v>6215506.8534000004</v>
      </c>
      <c r="E22" s="116">
        <v>117.64812962962968</v>
      </c>
      <c r="F22" s="117" t="s">
        <v>59</v>
      </c>
      <c r="G22" s="117" t="s">
        <v>435</v>
      </c>
      <c r="H22" s="115" t="s">
        <v>436</v>
      </c>
      <c r="I22" s="118">
        <v>289122.5465</v>
      </c>
      <c r="J22" s="118">
        <v>6215506.8510999996</v>
      </c>
      <c r="K22" s="118">
        <v>117.62139999999999</v>
      </c>
      <c r="L22" s="120">
        <v>-3.1000000308267772</v>
      </c>
      <c r="M22" s="120">
        <v>-2.3000007495284081</v>
      </c>
      <c r="N22" s="120">
        <v>-26.729629629684837</v>
      </c>
      <c r="O22" s="121"/>
    </row>
    <row r="24" spans="1:15" x14ac:dyDescent="0.2">
      <c r="J24" t="s">
        <v>408</v>
      </c>
    </row>
    <row r="28" spans="1:15" ht="15.75" x14ac:dyDescent="0.25">
      <c r="A28" s="127" t="s">
        <v>451</v>
      </c>
    </row>
    <row r="29" spans="1:15" x14ac:dyDescent="0.2">
      <c r="B29" s="57" t="s">
        <v>453</v>
      </c>
      <c r="C29" s="57" t="s">
        <v>454</v>
      </c>
      <c r="D29" s="57"/>
      <c r="E29" s="57"/>
      <c r="F29" s="57"/>
      <c r="G29" s="57"/>
      <c r="H29" s="57"/>
    </row>
    <row r="30" spans="1:15" s="57" customFormat="1" x14ac:dyDescent="0.2"/>
    <row r="31" spans="1:15" ht="21" x14ac:dyDescent="0.35">
      <c r="B31" s="122" t="s">
        <v>437</v>
      </c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</row>
    <row r="32" spans="1:15" x14ac:dyDescent="0.2"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</row>
    <row r="33" spans="2:13" x14ac:dyDescent="0.2">
      <c r="B33" s="123">
        <v>42746</v>
      </c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</row>
    <row r="34" spans="2:13" ht="15" x14ac:dyDescent="0.25">
      <c r="B34" s="57"/>
      <c r="C34" s="57"/>
      <c r="D34" s="124" t="s">
        <v>438</v>
      </c>
      <c r="E34" s="124" t="s">
        <v>439</v>
      </c>
      <c r="F34" s="124" t="s">
        <v>376</v>
      </c>
      <c r="G34" s="124" t="s">
        <v>440</v>
      </c>
      <c r="H34" s="125" t="s">
        <v>441</v>
      </c>
      <c r="I34" s="125" t="s">
        <v>442</v>
      </c>
      <c r="J34" s="125" t="s">
        <v>443</v>
      </c>
      <c r="K34" s="125" t="s">
        <v>444</v>
      </c>
      <c r="L34" s="57"/>
      <c r="M34" s="57"/>
    </row>
    <row r="35" spans="2:13" x14ac:dyDescent="0.2">
      <c r="B35" s="57"/>
      <c r="C35" s="124" t="s">
        <v>364</v>
      </c>
      <c r="D35" s="126">
        <v>119.83199999999999</v>
      </c>
      <c r="E35" s="124">
        <v>1.714</v>
      </c>
      <c r="F35" s="124" t="s">
        <v>364</v>
      </c>
      <c r="G35" s="126">
        <v>200</v>
      </c>
      <c r="H35" s="126">
        <f>G36-G35</f>
        <v>-2.6055000000000064</v>
      </c>
      <c r="I35" s="57"/>
      <c r="J35" s="57"/>
      <c r="K35" s="57"/>
      <c r="L35" s="57"/>
      <c r="M35" s="57"/>
    </row>
    <row r="36" spans="2:13" x14ac:dyDescent="0.2">
      <c r="B36" s="57"/>
      <c r="C36" s="124"/>
      <c r="D36" s="126"/>
      <c r="E36" s="124"/>
      <c r="F36" s="124" t="s">
        <v>445</v>
      </c>
      <c r="G36" s="126">
        <v>197.39449999999999</v>
      </c>
      <c r="H36" s="126"/>
      <c r="I36" s="126">
        <f>D35+E35+H35</f>
        <v>118.94049999999999</v>
      </c>
      <c r="J36" s="126">
        <v>118.98686363636367</v>
      </c>
      <c r="K36" s="126">
        <f>I36-J36</f>
        <v>-4.6363636363679461E-2</v>
      </c>
      <c r="L36" s="57" t="s">
        <v>446</v>
      </c>
      <c r="M36" s="57"/>
    </row>
    <row r="37" spans="2:13" x14ac:dyDescent="0.2">
      <c r="B37" s="57"/>
      <c r="C37" s="124"/>
      <c r="D37" s="126"/>
      <c r="E37" s="124"/>
      <c r="F37" s="124"/>
      <c r="G37" s="126"/>
      <c r="H37" s="126"/>
      <c r="I37" s="126"/>
      <c r="J37" s="126"/>
      <c r="K37" s="124"/>
      <c r="L37" s="57"/>
      <c r="M37" s="57"/>
    </row>
    <row r="38" spans="2:13" ht="15" x14ac:dyDescent="0.25">
      <c r="B38" s="57"/>
      <c r="C38" s="123"/>
      <c r="D38" s="126" t="s">
        <v>438</v>
      </c>
      <c r="E38" s="124" t="s">
        <v>439</v>
      </c>
      <c r="F38" s="124" t="s">
        <v>376</v>
      </c>
      <c r="G38" s="126" t="s">
        <v>440</v>
      </c>
      <c r="H38" s="126" t="s">
        <v>447</v>
      </c>
      <c r="I38" s="125" t="s">
        <v>442</v>
      </c>
      <c r="J38" s="126"/>
      <c r="K38" s="124"/>
      <c r="L38" s="57"/>
      <c r="M38" s="57"/>
    </row>
    <row r="39" spans="2:13" x14ac:dyDescent="0.2">
      <c r="B39" s="57"/>
      <c r="C39" s="124" t="s">
        <v>448</v>
      </c>
      <c r="D39" s="126">
        <v>128.66499999999999</v>
      </c>
      <c r="E39" s="124">
        <v>1.7210000000000001</v>
      </c>
      <c r="F39" s="57" t="s">
        <v>448</v>
      </c>
      <c r="G39" s="124">
        <v>208.79</v>
      </c>
      <c r="H39" s="126">
        <f>G40-G39</f>
        <v>-0.25</v>
      </c>
      <c r="I39" s="124"/>
      <c r="J39" s="126"/>
      <c r="K39" s="124"/>
      <c r="L39" s="57"/>
      <c r="M39" s="57"/>
    </row>
    <row r="40" spans="2:13" x14ac:dyDescent="0.2">
      <c r="B40" s="57"/>
      <c r="C40" s="124"/>
      <c r="D40" s="126"/>
      <c r="E40" s="124"/>
      <c r="F40" s="57" t="s">
        <v>449</v>
      </c>
      <c r="G40" s="124">
        <v>208.54</v>
      </c>
      <c r="H40" s="126"/>
      <c r="I40" s="126">
        <f>D39+E39+H39</f>
        <v>130.136</v>
      </c>
      <c r="J40" s="126">
        <v>130.16486363636366</v>
      </c>
      <c r="K40" s="126">
        <f>I40-J40</f>
        <v>-2.8863636363666956E-2</v>
      </c>
      <c r="L40" s="57" t="s">
        <v>446</v>
      </c>
      <c r="M40" s="57"/>
    </row>
    <row r="41" spans="2:13" x14ac:dyDescent="0.2">
      <c r="B41" s="57"/>
      <c r="C41" s="124"/>
      <c r="D41" s="126"/>
      <c r="E41" s="124"/>
      <c r="F41" s="124"/>
      <c r="G41" s="126"/>
      <c r="H41" s="126"/>
      <c r="I41" s="124"/>
      <c r="J41" s="126"/>
      <c r="K41" s="124"/>
      <c r="L41" s="57"/>
      <c r="M41" s="57"/>
    </row>
    <row r="42" spans="2:13" x14ac:dyDescent="0.2">
      <c r="B42" s="123">
        <v>42767</v>
      </c>
      <c r="C42" s="124"/>
      <c r="D42" s="126"/>
      <c r="E42" s="124"/>
      <c r="F42" s="124"/>
      <c r="G42" s="126"/>
      <c r="H42" s="126"/>
      <c r="I42" s="124"/>
      <c r="J42" s="126"/>
      <c r="K42" s="124"/>
      <c r="L42" s="57"/>
      <c r="M42" s="57"/>
    </row>
    <row r="43" spans="2:13" ht="15" x14ac:dyDescent="0.25">
      <c r="B43" s="57"/>
      <c r="C43" s="57"/>
      <c r="D43" s="126" t="s">
        <v>438</v>
      </c>
      <c r="E43" s="124" t="s">
        <v>439</v>
      </c>
      <c r="F43" s="124" t="s">
        <v>376</v>
      </c>
      <c r="G43" s="126" t="s">
        <v>440</v>
      </c>
      <c r="H43" s="126" t="s">
        <v>441</v>
      </c>
      <c r="I43" s="125" t="s">
        <v>442</v>
      </c>
      <c r="J43" s="125" t="s">
        <v>443</v>
      </c>
      <c r="K43" s="124"/>
      <c r="L43" s="57"/>
      <c r="M43" s="57"/>
    </row>
    <row r="44" spans="2:13" x14ac:dyDescent="0.2">
      <c r="B44" s="57"/>
      <c r="C44" s="124" t="s">
        <v>364</v>
      </c>
      <c r="D44" s="126">
        <v>119.8394</v>
      </c>
      <c r="E44" s="124">
        <v>1.675</v>
      </c>
      <c r="F44" s="124" t="s">
        <v>364</v>
      </c>
      <c r="G44" s="126">
        <v>191.124</v>
      </c>
      <c r="H44" s="126">
        <f>G45-G44</f>
        <v>-2.5685000000000002</v>
      </c>
      <c r="I44" s="124"/>
      <c r="J44" s="126"/>
      <c r="K44" s="124"/>
      <c r="L44" s="57"/>
      <c r="M44" s="57"/>
    </row>
    <row r="45" spans="2:13" x14ac:dyDescent="0.2">
      <c r="B45" s="57"/>
      <c r="C45" s="124"/>
      <c r="D45" s="126"/>
      <c r="E45" s="124"/>
      <c r="F45" s="124" t="s">
        <v>445</v>
      </c>
      <c r="G45" s="126">
        <v>188.55549999999999</v>
      </c>
      <c r="H45" s="126"/>
      <c r="I45" s="126">
        <f>D44+E44+H44</f>
        <v>118.94589999999999</v>
      </c>
      <c r="J45" s="126">
        <v>118.98586363636366</v>
      </c>
      <c r="K45" s="126">
        <f>I45-J45</f>
        <v>-3.9963636363665955E-2</v>
      </c>
      <c r="L45" s="57" t="s">
        <v>446</v>
      </c>
      <c r="M45" s="57"/>
    </row>
    <row r="46" spans="2:13" x14ac:dyDescent="0.2">
      <c r="B46" s="57"/>
      <c r="C46" s="124"/>
      <c r="D46" s="126"/>
      <c r="E46" s="124"/>
      <c r="F46" s="124"/>
      <c r="G46" s="126"/>
      <c r="H46" s="126"/>
      <c r="I46" s="126"/>
      <c r="J46" s="126"/>
      <c r="K46" s="124"/>
      <c r="L46" s="57"/>
      <c r="M46" s="57"/>
    </row>
    <row r="47" spans="2:13" ht="15" x14ac:dyDescent="0.25">
      <c r="B47" s="57"/>
      <c r="C47" s="123"/>
      <c r="D47" s="126" t="s">
        <v>438</v>
      </c>
      <c r="E47" s="124" t="s">
        <v>439</v>
      </c>
      <c r="F47" s="124" t="s">
        <v>376</v>
      </c>
      <c r="G47" s="126" t="s">
        <v>440</v>
      </c>
      <c r="H47" s="126" t="s">
        <v>447</v>
      </c>
      <c r="I47" s="125" t="s">
        <v>442</v>
      </c>
      <c r="J47" s="126"/>
      <c r="K47" s="124"/>
      <c r="L47" s="57"/>
      <c r="M47" s="57"/>
    </row>
    <row r="48" spans="2:13" x14ac:dyDescent="0.2">
      <c r="B48" s="57"/>
      <c r="C48" s="124" t="s">
        <v>448</v>
      </c>
      <c r="D48" s="126">
        <v>128.6497</v>
      </c>
      <c r="E48" s="124">
        <v>1.714</v>
      </c>
      <c r="F48" s="57" t="s">
        <v>448</v>
      </c>
      <c r="G48" s="126">
        <v>200</v>
      </c>
      <c r="H48" s="126">
        <f>G49-G48</f>
        <v>-0.24450000000001637</v>
      </c>
      <c r="I48" s="124"/>
      <c r="J48" s="126"/>
      <c r="K48" s="124"/>
      <c r="L48" s="57"/>
      <c r="M48" s="57"/>
    </row>
    <row r="49" spans="1:13" x14ac:dyDescent="0.2">
      <c r="B49" s="57"/>
      <c r="C49" s="57"/>
      <c r="D49" s="57"/>
      <c r="E49" s="57"/>
      <c r="F49" s="57" t="s">
        <v>449</v>
      </c>
      <c r="G49" s="126">
        <v>199.75549999999998</v>
      </c>
      <c r="H49" s="56"/>
      <c r="I49" s="126">
        <f>D48+E48+H48</f>
        <v>130.11919999999998</v>
      </c>
      <c r="J49" s="126">
        <v>130.16036363636366</v>
      </c>
      <c r="K49" s="126">
        <f>I49-J49</f>
        <v>-4.1163636363677369E-2</v>
      </c>
      <c r="L49" s="57" t="s">
        <v>446</v>
      </c>
      <c r="M49" s="57"/>
    </row>
    <row r="54" spans="1:13" ht="15.75" x14ac:dyDescent="0.25">
      <c r="A54" s="128" t="s">
        <v>452</v>
      </c>
    </row>
    <row r="56" spans="1:13" x14ac:dyDescent="0.2">
      <c r="B56" s="129" t="s">
        <v>455</v>
      </c>
      <c r="C56" s="126">
        <f>AVERAGE(AVERAGE(N10:N12,N21:N22)/1000,AVERAGE(K36,K40,K45,K49))</f>
        <v>-3.6776310325500106E-2</v>
      </c>
    </row>
    <row r="58" spans="1:13" x14ac:dyDescent="0.2">
      <c r="B58" t="s">
        <v>411</v>
      </c>
      <c r="C58" s="108" t="s">
        <v>457</v>
      </c>
    </row>
    <row r="59" spans="1:13" x14ac:dyDescent="0.2">
      <c r="C59" t="s">
        <v>456</v>
      </c>
    </row>
  </sheetData>
  <mergeCells count="4">
    <mergeCell ref="B8:G8"/>
    <mergeCell ref="H8:O8"/>
    <mergeCell ref="B19:G19"/>
    <mergeCell ref="H19:O1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33EDF-4955-4334-904E-186787E717D3}">
  <sheetPr codeName="Sheet4">
    <tabColor rgb="FFFFFF00"/>
  </sheetPr>
  <dimension ref="A1:S182"/>
  <sheetViews>
    <sheetView topLeftCell="A148" workbookViewId="0">
      <selection activeCell="D99" sqref="D99"/>
    </sheetView>
  </sheetViews>
  <sheetFormatPr defaultColWidth="9.140625" defaultRowHeight="15" x14ac:dyDescent="0.25"/>
  <cols>
    <col min="1" max="1" width="14.28515625" style="85" customWidth="1"/>
    <col min="2" max="2" width="31.28515625" style="85" customWidth="1"/>
    <col min="3" max="3" width="33.140625" style="85" customWidth="1"/>
    <col min="4" max="4" width="18.28515625" style="85" customWidth="1"/>
    <col min="5" max="5" width="35" style="85" customWidth="1"/>
    <col min="6" max="6" width="31.140625" style="85" customWidth="1"/>
    <col min="7" max="7" width="9.140625" style="85"/>
    <col min="8" max="8" width="10.28515625" style="85" customWidth="1"/>
    <col min="9" max="9" width="12.28515625" style="85" customWidth="1"/>
    <col min="10" max="10" width="11.5703125" style="85" bestFit="1" customWidth="1"/>
    <col min="11" max="11" width="9.5703125" style="85" bestFit="1" customWidth="1"/>
    <col min="12" max="16384" width="9.140625" style="85"/>
  </cols>
  <sheetData>
    <row r="1" spans="1:13" ht="23.25" x14ac:dyDescent="0.35">
      <c r="A1" s="84" t="s">
        <v>381</v>
      </c>
    </row>
    <row r="3" spans="1:13" x14ac:dyDescent="0.25">
      <c r="A3" s="86" t="s">
        <v>373</v>
      </c>
    </row>
    <row r="4" spans="1:13" x14ac:dyDescent="0.25">
      <c r="A4" s="86"/>
      <c r="B4" s="107" t="s">
        <v>411</v>
      </c>
      <c r="C4" s="221" t="s">
        <v>458</v>
      </c>
      <c r="D4" s="221"/>
      <c r="E4" s="221"/>
    </row>
    <row r="5" spans="1:13" x14ac:dyDescent="0.25">
      <c r="A5" s="86"/>
      <c r="C5" s="221" t="s">
        <v>412</v>
      </c>
      <c r="D5" s="221"/>
      <c r="E5" s="221"/>
    </row>
    <row r="6" spans="1:13" x14ac:dyDescent="0.25">
      <c r="A6" s="86"/>
      <c r="C6" s="222" t="s">
        <v>459</v>
      </c>
      <c r="D6" s="221"/>
      <c r="E6" s="221"/>
    </row>
    <row r="7" spans="1:13" ht="15.75" thickBot="1" x14ac:dyDescent="0.3"/>
    <row r="8" spans="1:13" ht="15.75" thickBot="1" x14ac:dyDescent="0.3">
      <c r="B8" s="218" t="s">
        <v>374</v>
      </c>
      <c r="C8" s="219"/>
      <c r="D8" s="220"/>
      <c r="E8" s="57"/>
      <c r="G8" s="215" t="s">
        <v>375</v>
      </c>
      <c r="H8" s="216"/>
      <c r="I8" s="216"/>
      <c r="J8" s="217"/>
    </row>
    <row r="9" spans="1:13" ht="15.75" thickBot="1" x14ac:dyDescent="0.3">
      <c r="B9" s="87" t="s">
        <v>376</v>
      </c>
      <c r="C9" s="88" t="s">
        <v>409</v>
      </c>
      <c r="D9" s="130" t="s">
        <v>410</v>
      </c>
      <c r="G9" s="87" t="s">
        <v>376</v>
      </c>
      <c r="H9" s="130" t="s">
        <v>377</v>
      </c>
      <c r="I9" s="130" t="s">
        <v>378</v>
      </c>
      <c r="J9" s="130" t="s">
        <v>379</v>
      </c>
    </row>
    <row r="10" spans="1:13" x14ac:dyDescent="0.25">
      <c r="B10" s="90" t="s">
        <v>364</v>
      </c>
      <c r="C10" s="89">
        <f>IFERROR(INDEX(Current_GNSS[HT],MATCH(B10,Current_GNSS[Mark_ID],0)),"")</f>
        <v>116.998</v>
      </c>
      <c r="D10" s="131">
        <f>C10-'GNSS Offset'!$C$56</f>
        <v>117.0347763103255</v>
      </c>
      <c r="G10" s="90" t="s">
        <v>364</v>
      </c>
      <c r="H10" s="131">
        <f>IFERROR(INDEX(Current_GNNS_HTS[Inst_HT],MATCH(G10,Current_GNNS_HTS[Mark_ID],0)),"")</f>
        <v>1.3440000000000001</v>
      </c>
      <c r="I10" s="184">
        <v>0.41299999999999998</v>
      </c>
      <c r="J10" s="184">
        <f t="shared" ref="J10:J17" si="0">H10+I10</f>
        <v>1.7570000000000001</v>
      </c>
    </row>
    <row r="11" spans="1:13" x14ac:dyDescent="0.25">
      <c r="B11" s="90" t="s">
        <v>363</v>
      </c>
      <c r="C11" s="89">
        <f>IFERROR(INDEX(Current_GNSS[HT],MATCH(B11,Current_GNSS[Mark_ID],0)),"")</f>
        <v>131.11699999999999</v>
      </c>
      <c r="D11" s="131">
        <f>C11-'GNSS Offset'!$C$56</f>
        <v>131.1537763103255</v>
      </c>
      <c r="G11" s="90" t="s">
        <v>363</v>
      </c>
      <c r="H11" s="131">
        <f>IFERROR(INDEX(Current_GNNS_HTS[Inst_HT],MATCH(G11,Current_GNNS_HTS[Mark_ID],0)),"")</f>
        <v>1.294</v>
      </c>
      <c r="I11" s="184">
        <v>0.41299999999999998</v>
      </c>
      <c r="J11" s="184">
        <f t="shared" si="0"/>
        <v>1.7070000000000001</v>
      </c>
    </row>
    <row r="12" spans="1:13" x14ac:dyDescent="0.25">
      <c r="B12" s="90" t="s">
        <v>362</v>
      </c>
      <c r="C12" s="89">
        <f>IFERROR(INDEX(Current_GNSS[HT],MATCH(B12,Current_GNSS[Mark_ID],0)),"")</f>
        <v>0</v>
      </c>
      <c r="D12" s="131">
        <f>C12-'GNSS Offset'!$C$56</f>
        <v>3.6776310325500106E-2</v>
      </c>
      <c r="G12" s="90" t="s">
        <v>362</v>
      </c>
      <c r="H12" s="131">
        <f>IFERROR(INDEX(Current_GNNS_HTS[Inst_HT],MATCH(G12,Current_GNNS_HTS[Mark_ID],0)),"")</f>
        <v>0</v>
      </c>
      <c r="I12" s="184">
        <v>0.41299999999999998</v>
      </c>
      <c r="J12" s="184">
        <f t="shared" si="0"/>
        <v>0.41299999999999998</v>
      </c>
      <c r="K12" s="91"/>
      <c r="M12" s="92" t="s">
        <v>380</v>
      </c>
    </row>
    <row r="13" spans="1:13" s="154" customFormat="1" x14ac:dyDescent="0.25">
      <c r="B13" s="183" t="s">
        <v>361</v>
      </c>
      <c r="C13" s="89">
        <f>IFERROR(INDEX(Current_GNSS[HT],MATCH(B13,Current_GNSS[Mark_ID],0)),"")</f>
        <v>177.52500000000001</v>
      </c>
      <c r="D13" s="131">
        <f>C13-'GNSS Offset'!$C$56</f>
        <v>177.56177631032551</v>
      </c>
      <c r="G13" s="90" t="s">
        <v>361</v>
      </c>
      <c r="H13" s="131">
        <f>IFERROR(INDEX(Current_GNNS_HTS[Inst_HT],MATCH(G13,Current_GNNS_HTS[Mark_ID],0)),"")</f>
        <v>1.28</v>
      </c>
      <c r="I13" s="184">
        <v>0.41299999999999998</v>
      </c>
      <c r="J13" s="184">
        <f t="shared" ref="J13" si="1">H13+I13</f>
        <v>1.6930000000000001</v>
      </c>
      <c r="K13" s="91"/>
      <c r="M13" s="92"/>
    </row>
    <row r="14" spans="1:13" s="154" customFormat="1" x14ac:dyDescent="0.25">
      <c r="B14" s="183" t="s">
        <v>448</v>
      </c>
      <c r="C14" s="89">
        <f>IFERROR(INDEX(Current_GNSS[HT],MATCH(B14,Current_GNSS[Mark_ID],0)),"")</f>
        <v>186.32499999999999</v>
      </c>
      <c r="D14" s="131">
        <f>C14-'GNSS Offset'!$C$56</f>
        <v>186.3617763103255</v>
      </c>
      <c r="G14" s="183" t="s">
        <v>448</v>
      </c>
      <c r="H14" s="131">
        <f>IFERROR(INDEX(Current_GNNS_HTS[Inst_HT],MATCH(G14,Current_GNNS_HTS[Mark_ID],0)),"")</f>
        <v>1.1839999999999999</v>
      </c>
      <c r="I14" s="184">
        <v>0.41299999999999998</v>
      </c>
      <c r="J14" s="184">
        <f t="shared" ref="J14:J16" si="2">H14+I14</f>
        <v>1.597</v>
      </c>
      <c r="K14" s="91"/>
      <c r="M14" s="92"/>
    </row>
    <row r="15" spans="1:13" s="154" customFormat="1" x14ac:dyDescent="0.25">
      <c r="B15" s="183" t="s">
        <v>548</v>
      </c>
      <c r="C15" s="89">
        <f>IFERROR(INDEX(Current_GNSS[HT],MATCH(B15,Current_GNSS[Mark_ID],0)),"")</f>
        <v>0</v>
      </c>
      <c r="D15" s="131">
        <f>C15-'GNSS Offset'!$C$56</f>
        <v>3.6776310325500106E-2</v>
      </c>
      <c r="G15" s="183" t="s">
        <v>548</v>
      </c>
      <c r="H15" s="131">
        <f>IFERROR(INDEX(Current_GNNS_HTS[Inst_HT],MATCH(G15,Current_GNNS_HTS[Mark_ID],0)),"")</f>
        <v>1.1950000000000001</v>
      </c>
      <c r="I15" s="184">
        <v>0.41299999999999998</v>
      </c>
      <c r="J15" s="184">
        <f t="shared" si="2"/>
        <v>1.6080000000000001</v>
      </c>
      <c r="K15" s="91"/>
      <c r="M15" s="92"/>
    </row>
    <row r="16" spans="1:13" s="154" customFormat="1" x14ac:dyDescent="0.25">
      <c r="B16" s="183" t="s">
        <v>711</v>
      </c>
      <c r="C16" s="89">
        <f>IFERROR(INDEX(Current_GNSS[HT],MATCH(B16,Current_GNSS[Mark_ID],0)),"")</f>
        <v>154.13200000000001</v>
      </c>
      <c r="D16" s="131">
        <f>C16-'GNSS Offset'!$C$56</f>
        <v>154.16877631032551</v>
      </c>
      <c r="G16" s="183" t="s">
        <v>711</v>
      </c>
      <c r="H16" s="131">
        <f>IFERROR(INDEX(Current_GNNS_HTS[Inst_HT],MATCH(G16,Current_GNNS_HTS[Mark_ID],0)),"")</f>
        <v>0</v>
      </c>
      <c r="I16" s="184">
        <v>0.41299999999999998</v>
      </c>
      <c r="J16" s="184">
        <f t="shared" si="2"/>
        <v>0.41299999999999998</v>
      </c>
      <c r="K16" s="91"/>
      <c r="M16" s="92"/>
    </row>
    <row r="17" spans="1:19" ht="15.75" thickBot="1" x14ac:dyDescent="0.3">
      <c r="B17" s="93" t="s">
        <v>710</v>
      </c>
      <c r="C17" s="89">
        <f>IFERROR(INDEX(Current_GNSS[HT],MATCH(B17,Current_GNSS[Mark_ID],0)),"")</f>
        <v>0</v>
      </c>
      <c r="D17" s="131">
        <f>C17-'GNSS Offset'!$C$56</f>
        <v>3.6776310325500106E-2</v>
      </c>
      <c r="G17" s="93" t="s">
        <v>710</v>
      </c>
      <c r="H17" s="132">
        <f>IFERROR(INDEX(Current_GNNS_HTS[Inst_HT],MATCH(G17,Current_GNNS_HTS[Mark_ID],0)),"")</f>
        <v>0</v>
      </c>
      <c r="I17" s="185">
        <v>0.41299999999999998</v>
      </c>
      <c r="J17" s="185">
        <f t="shared" si="0"/>
        <v>0.41299999999999998</v>
      </c>
      <c r="K17" s="91"/>
    </row>
    <row r="19" spans="1:19" x14ac:dyDescent="0.25">
      <c r="D19" s="57"/>
    </row>
    <row r="20" spans="1:19" x14ac:dyDescent="0.25">
      <c r="A20" s="86" t="s">
        <v>381</v>
      </c>
      <c r="F20" s="92"/>
      <c r="J20" s="91"/>
      <c r="L20" s="91"/>
      <c r="M20" s="57"/>
      <c r="N20" s="57"/>
      <c r="O20" s="57"/>
      <c r="P20" s="57"/>
      <c r="Q20" s="57"/>
      <c r="R20" s="57"/>
      <c r="S20" s="57"/>
    </row>
    <row r="21" spans="1:19" x14ac:dyDescent="0.25">
      <c r="L21" s="91"/>
      <c r="M21" s="57"/>
      <c r="N21" s="57"/>
      <c r="O21" s="57"/>
      <c r="P21" s="57"/>
      <c r="Q21" s="57"/>
      <c r="R21" s="57"/>
      <c r="S21" s="57"/>
    </row>
    <row r="22" spans="1:19" x14ac:dyDescent="0.25">
      <c r="L22" s="91"/>
    </row>
    <row r="23" spans="1:19" x14ac:dyDescent="0.25">
      <c r="A23" s="94" t="s">
        <v>70</v>
      </c>
      <c r="B23" s="95"/>
      <c r="D23" s="100"/>
      <c r="L23" s="91"/>
    </row>
    <row r="24" spans="1:19" x14ac:dyDescent="0.25">
      <c r="A24" s="94"/>
      <c r="B24" s="95"/>
      <c r="C24" s="96"/>
      <c r="I24" s="105"/>
      <c r="N24" s="57"/>
      <c r="O24" s="57"/>
      <c r="P24" s="57"/>
      <c r="Q24" s="57"/>
    </row>
    <row r="25" spans="1:19" x14ac:dyDescent="0.25">
      <c r="B25" s="97" t="s">
        <v>383</v>
      </c>
      <c r="N25" s="57"/>
      <c r="O25" s="57"/>
      <c r="P25" s="57"/>
      <c r="Q25" s="57"/>
    </row>
    <row r="26" spans="1:19" x14ac:dyDescent="0.25">
      <c r="C26" s="85" t="s">
        <v>376</v>
      </c>
      <c r="D26" s="85" t="s">
        <v>382</v>
      </c>
    </row>
    <row r="27" spans="1:19" x14ac:dyDescent="0.25">
      <c r="C27" s="85" t="s">
        <v>384</v>
      </c>
      <c r="D27" s="98">
        <f>D10</f>
        <v>117.0347763103255</v>
      </c>
    </row>
    <row r="28" spans="1:19" x14ac:dyDescent="0.25">
      <c r="C28" s="85" t="s">
        <v>385</v>
      </c>
      <c r="D28" s="98">
        <f>J10</f>
        <v>1.7570000000000001</v>
      </c>
    </row>
    <row r="29" spans="1:19" x14ac:dyDescent="0.25">
      <c r="D29" s="99"/>
    </row>
    <row r="30" spans="1:19" x14ac:dyDescent="0.25">
      <c r="C30" s="85" t="s">
        <v>386</v>
      </c>
      <c r="D30" s="100">
        <f>D27+D28</f>
        <v>118.7917763103255</v>
      </c>
    </row>
    <row r="32" spans="1:19" x14ac:dyDescent="0.25">
      <c r="C32" s="85" t="s">
        <v>390</v>
      </c>
    </row>
    <row r="33" spans="1:10" x14ac:dyDescent="0.25">
      <c r="C33" s="101" t="s">
        <v>372</v>
      </c>
      <c r="D33" s="101" t="s">
        <v>376</v>
      </c>
      <c r="E33" s="102" t="s">
        <v>39</v>
      </c>
      <c r="F33" s="102" t="s">
        <v>40</v>
      </c>
      <c r="G33" s="102" t="s">
        <v>41</v>
      </c>
      <c r="H33" s="101"/>
      <c r="I33" s="102" t="s">
        <v>387</v>
      </c>
      <c r="J33" s="102" t="s">
        <v>388</v>
      </c>
    </row>
    <row r="34" spans="1:10" x14ac:dyDescent="0.25">
      <c r="C34" s="85" t="s">
        <v>364</v>
      </c>
      <c r="D34" s="73" t="s">
        <v>364</v>
      </c>
      <c r="E34" s="103">
        <f>IFERROR(INDEX(ARB_STN_CRD[X],MATCH(D34,ARB_STN_CRD[STN],0)),"")</f>
        <v>9919.2970000000005</v>
      </c>
      <c r="F34" s="103">
        <f>IFERROR(INDEX(ARB_STN_CRD[Y],MATCH(E34,ARB_STN_CRD[X],0)),"")</f>
        <v>5122.2150000000001</v>
      </c>
      <c r="G34" s="103">
        <f>IFERROR(INDEX(ARB_STN_CRD[Z],MATCH(F34,ARB_STN_CRD[Y],0)),"")</f>
        <v>200.01300000000001</v>
      </c>
      <c r="I34" s="91">
        <f>G34</f>
        <v>200.01300000000001</v>
      </c>
    </row>
    <row r="35" spans="1:10" x14ac:dyDescent="0.25">
      <c r="D35" s="73" t="s">
        <v>158</v>
      </c>
      <c r="E35" s="104">
        <f>_xlfn.IFNA(INDEX(Table_INPUT_2D[X],MATCH(D35,Table_INPUT_2D[Unique ID],0)),"")</f>
        <v>9927.6859999999997</v>
      </c>
      <c r="F35" s="104">
        <f>_xlfn.IFNA(INDEX(Table_INPUT_2D[Y],MATCH(D35,Table_INPUT_2D[Unique ID],0)),"")</f>
        <v>5126.3069999999998</v>
      </c>
      <c r="G35" s="104">
        <f>_xlfn.IFNA(INDEX(Table_INPUT_2D[Z],MATCH(D35,Table_INPUT_2D[Unique ID],0)),"")</f>
        <v>198.922</v>
      </c>
      <c r="I35" s="85">
        <f>AVERAGE(G35:G36)</f>
        <v>198.922</v>
      </c>
      <c r="J35" s="91">
        <f>I34-I35</f>
        <v>1.0910000000000082</v>
      </c>
    </row>
    <row r="36" spans="1:10" x14ac:dyDescent="0.25">
      <c r="D36" s="73" t="s">
        <v>159</v>
      </c>
      <c r="E36" s="104">
        <f>_xlfn.IFNA(INDEX(Table_INPUT_2D[X],MATCH($D36,Table_INPUT_2D[Unique ID],0)),"")</f>
        <v>9927.6869999999999</v>
      </c>
      <c r="F36" s="104">
        <f>_xlfn.IFNA(INDEX(Table_INPUT_2D[Y],MATCH(D36,Table_INPUT_2D[Unique ID],0)),"")</f>
        <v>5126.308</v>
      </c>
      <c r="G36" s="104">
        <f>_xlfn.IFNA(INDEX(Table_INPUT_2D[Z],MATCH(D36,Table_INPUT_2D[Unique ID],0)),"")</f>
        <v>198.922</v>
      </c>
    </row>
    <row r="37" spans="1:10" x14ac:dyDescent="0.25">
      <c r="E37" s="99"/>
      <c r="F37" s="99"/>
      <c r="G37" s="99"/>
    </row>
    <row r="38" spans="1:10" x14ac:dyDescent="0.25">
      <c r="C38" s="85" t="s">
        <v>402</v>
      </c>
      <c r="D38" s="100">
        <f>D30-J35</f>
        <v>117.70077631032549</v>
      </c>
      <c r="F38" s="99"/>
      <c r="G38" s="99"/>
    </row>
    <row r="39" spans="1:10" x14ac:dyDescent="0.25">
      <c r="C39" s="85" t="s">
        <v>404</v>
      </c>
      <c r="D39" s="100">
        <f>Output!L11</f>
        <v>117.70599182945162</v>
      </c>
      <c r="E39" s="91"/>
    </row>
    <row r="40" spans="1:10" x14ac:dyDescent="0.25">
      <c r="C40" s="85" t="s">
        <v>460</v>
      </c>
      <c r="D40" s="98">
        <f>D39-D38</f>
        <v>5.2155191261249456E-3</v>
      </c>
    </row>
    <row r="41" spans="1:10" x14ac:dyDescent="0.25">
      <c r="D41" s="100"/>
    </row>
    <row r="42" spans="1:10" x14ac:dyDescent="0.25">
      <c r="A42" s="94" t="s">
        <v>393</v>
      </c>
      <c r="B42" s="95"/>
      <c r="C42" s="96"/>
      <c r="I42" s="105"/>
    </row>
    <row r="43" spans="1:10" x14ac:dyDescent="0.25">
      <c r="A43" s="94"/>
      <c r="B43" s="95"/>
      <c r="C43" s="96"/>
      <c r="I43" s="105"/>
    </row>
    <row r="44" spans="1:10" x14ac:dyDescent="0.25">
      <c r="B44" s="97" t="s">
        <v>383</v>
      </c>
    </row>
    <row r="45" spans="1:10" x14ac:dyDescent="0.25">
      <c r="C45" s="85" t="s">
        <v>376</v>
      </c>
      <c r="D45" s="85" t="s">
        <v>382</v>
      </c>
    </row>
    <row r="46" spans="1:10" x14ac:dyDescent="0.25">
      <c r="C46" s="85" t="s">
        <v>391</v>
      </c>
      <c r="D46" s="98">
        <f>D11</f>
        <v>131.1537763103255</v>
      </c>
    </row>
    <row r="47" spans="1:10" x14ac:dyDescent="0.25">
      <c r="C47" s="85" t="s">
        <v>385</v>
      </c>
      <c r="D47" s="98">
        <f>J11</f>
        <v>1.7070000000000001</v>
      </c>
    </row>
    <row r="48" spans="1:10" x14ac:dyDescent="0.25">
      <c r="D48" s="99"/>
    </row>
    <row r="49" spans="1:10" x14ac:dyDescent="0.25">
      <c r="C49" s="85" t="s">
        <v>392</v>
      </c>
      <c r="D49" s="100">
        <f>D46+D47</f>
        <v>132.86077631032549</v>
      </c>
    </row>
    <row r="51" spans="1:10" x14ac:dyDescent="0.25">
      <c r="C51" s="85" t="s">
        <v>390</v>
      </c>
    </row>
    <row r="52" spans="1:10" x14ac:dyDescent="0.25">
      <c r="C52" s="101" t="s">
        <v>372</v>
      </c>
      <c r="D52" s="101" t="s">
        <v>376</v>
      </c>
      <c r="E52" s="102" t="s">
        <v>39</v>
      </c>
      <c r="F52" s="102" t="s">
        <v>40</v>
      </c>
      <c r="G52" s="102" t="s">
        <v>41</v>
      </c>
      <c r="H52" s="101"/>
      <c r="I52" s="102" t="s">
        <v>387</v>
      </c>
      <c r="J52" s="102" t="s">
        <v>388</v>
      </c>
    </row>
    <row r="53" spans="1:10" x14ac:dyDescent="0.25">
      <c r="C53" s="92" t="s">
        <v>363</v>
      </c>
      <c r="D53" s="73" t="s">
        <v>363</v>
      </c>
      <c r="E53" s="103">
        <f>IFERROR(INDEX(ARB_STN_CRD[X],MATCH(D53,ARB_STN_CRD[STN],0)),"")</f>
        <v>10655.441000000001</v>
      </c>
      <c r="F53" s="103">
        <f>IFERROR(INDEX(ARB_STN_CRD[Y],MATCH(E53,ARB_STN_CRD[X],0)),"")</f>
        <v>4809.0280000000002</v>
      </c>
      <c r="G53" s="103">
        <f>IFERROR(INDEX(ARB_STN_CRD[Z],MATCH(F53,ARB_STN_CRD[Y],0)),"")</f>
        <v>214.04599999999999</v>
      </c>
      <c r="I53" s="91">
        <f>G53</f>
        <v>214.04599999999999</v>
      </c>
    </row>
    <row r="54" spans="1:10" x14ac:dyDescent="0.25">
      <c r="D54" s="73" t="s">
        <v>262</v>
      </c>
      <c r="E54" s="104">
        <f>_xlfn.IFNA(INDEX(Table_INPUT_2D[X],MATCH(D54,Table_INPUT_2D[Unique ID],0)),"")</f>
        <v>10659.272000000001</v>
      </c>
      <c r="F54" s="104">
        <f>_xlfn.IFNA(INDEX(Table_INPUT_2D[Y],MATCH(D54,Table_INPUT_2D[Unique ID],0)),"")</f>
        <v>4821.4049999999997</v>
      </c>
      <c r="G54" s="104">
        <f>_xlfn.IFNA(INDEX(Table_INPUT_2D[Z],MATCH(D54,Table_INPUT_2D[Unique ID],0)),"")</f>
        <v>212.36199999999999</v>
      </c>
      <c r="I54" s="85">
        <f>AVERAGE(G54:G55)</f>
        <v>212.36149999999998</v>
      </c>
      <c r="J54" s="91">
        <f>I53-I54</f>
        <v>1.6845000000000141</v>
      </c>
    </row>
    <row r="55" spans="1:10" x14ac:dyDescent="0.25">
      <c r="D55" s="73" t="s">
        <v>263</v>
      </c>
      <c r="E55" s="104">
        <f>_xlfn.IFNA(INDEX(Table_INPUT_2D[X],MATCH($D55,Table_INPUT_2D[Unique ID],0)),"")</f>
        <v>10659.272000000001</v>
      </c>
      <c r="F55" s="104">
        <f>_xlfn.IFNA(INDEX(Table_INPUT_2D[Y],MATCH(D55,Table_INPUT_2D[Unique ID],0)),"")</f>
        <v>4821.4049999999997</v>
      </c>
      <c r="G55" s="104">
        <f>_xlfn.IFNA(INDEX(Table_INPUT_2D[Z],MATCH(D55,Table_INPUT_2D[Unique ID],0)),"")</f>
        <v>212.36099999999999</v>
      </c>
    </row>
    <row r="56" spans="1:10" x14ac:dyDescent="0.25">
      <c r="E56" s="99"/>
      <c r="F56" s="99"/>
      <c r="G56" s="99"/>
    </row>
    <row r="57" spans="1:10" x14ac:dyDescent="0.25">
      <c r="C57" s="85" t="s">
        <v>401</v>
      </c>
      <c r="D57" s="100">
        <f>D49-J54</f>
        <v>131.17627631032548</v>
      </c>
      <c r="F57" s="99"/>
      <c r="G57" s="99"/>
    </row>
    <row r="58" spans="1:10" x14ac:dyDescent="0.25">
      <c r="C58" s="85" t="s">
        <v>405</v>
      </c>
      <c r="D58" s="100">
        <f>Output!L51</f>
        <v>131.18244447314066</v>
      </c>
    </row>
    <row r="59" spans="1:10" x14ac:dyDescent="0.25">
      <c r="C59" s="85" t="s">
        <v>460</v>
      </c>
      <c r="D59" s="98">
        <f>D58-D57</f>
        <v>6.1681628151859513E-3</v>
      </c>
    </row>
    <row r="62" spans="1:10" x14ac:dyDescent="0.25">
      <c r="A62" s="94" t="s">
        <v>394</v>
      </c>
      <c r="B62" s="95"/>
      <c r="C62" s="96"/>
      <c r="I62" s="105"/>
    </row>
    <row r="63" spans="1:10" x14ac:dyDescent="0.25">
      <c r="A63" s="94"/>
      <c r="B63" s="95"/>
      <c r="C63" s="96"/>
      <c r="I63" s="105"/>
    </row>
    <row r="64" spans="1:10" x14ac:dyDescent="0.25">
      <c r="B64" s="97" t="s">
        <v>383</v>
      </c>
    </row>
    <row r="65" spans="3:10" x14ac:dyDescent="0.25">
      <c r="C65" s="85" t="s">
        <v>376</v>
      </c>
      <c r="D65" s="85" t="s">
        <v>382</v>
      </c>
    </row>
    <row r="66" spans="3:10" x14ac:dyDescent="0.25">
      <c r="C66" s="85" t="s">
        <v>395</v>
      </c>
      <c r="D66" s="98">
        <f>D12</f>
        <v>3.6776310325500106E-2</v>
      </c>
    </row>
    <row r="67" spans="3:10" x14ac:dyDescent="0.25">
      <c r="C67" s="85" t="s">
        <v>385</v>
      </c>
      <c r="D67" s="98">
        <f>J12</f>
        <v>0.41299999999999998</v>
      </c>
    </row>
    <row r="68" spans="3:10" x14ac:dyDescent="0.25">
      <c r="D68" s="99"/>
    </row>
    <row r="69" spans="3:10" x14ac:dyDescent="0.25">
      <c r="C69" s="85" t="s">
        <v>396</v>
      </c>
      <c r="D69" s="100">
        <f>D66+D67</f>
        <v>0.44977631032550008</v>
      </c>
    </row>
    <row r="71" spans="3:10" x14ac:dyDescent="0.25">
      <c r="C71" s="85" t="s">
        <v>390</v>
      </c>
    </row>
    <row r="72" spans="3:10" x14ac:dyDescent="0.25">
      <c r="C72" s="101" t="s">
        <v>372</v>
      </c>
      <c r="D72" s="101" t="s">
        <v>376</v>
      </c>
      <c r="E72" s="102" t="s">
        <v>39</v>
      </c>
      <c r="F72" s="102" t="s">
        <v>40</v>
      </c>
      <c r="G72" s="102" t="s">
        <v>41</v>
      </c>
      <c r="H72" s="101"/>
      <c r="I72" s="102" t="s">
        <v>387</v>
      </c>
      <c r="J72" s="102" t="s">
        <v>388</v>
      </c>
    </row>
    <row r="73" spans="3:10" x14ac:dyDescent="0.25">
      <c r="C73" s="92" t="s">
        <v>362</v>
      </c>
      <c r="D73" s="73" t="s">
        <v>362</v>
      </c>
      <c r="E73" s="103">
        <f>IFERROR(INDEX(ARB_STN_CRD[X],MATCH(D73,ARB_STN_CRD[STN],0)),"")</f>
        <v>0</v>
      </c>
      <c r="F73" s="103" t="str">
        <f>IFERROR(INDEX(ARB_STN_CRD[Y],MATCH(E73,ARB_STN_CRD[X],0)),"")</f>
        <v/>
      </c>
      <c r="G73" s="103" t="str">
        <f>IFERROR(INDEX(ARB_STN_CRD[Z],MATCH(F73,ARB_STN_CRD[Y],0)),"")</f>
        <v/>
      </c>
      <c r="I73" s="91" t="str">
        <f>G73</f>
        <v/>
      </c>
    </row>
    <row r="74" spans="3:10" x14ac:dyDescent="0.25">
      <c r="D74" s="73" t="s">
        <v>326</v>
      </c>
      <c r="E74" s="104">
        <f>_xlfn.IFNA(INDEX(Table_INPUT_2D[X],MATCH(D74,Table_INPUT_2D[Unique ID],0)),"")</f>
        <v>11097.472</v>
      </c>
      <c r="F74" s="104">
        <f>_xlfn.IFNA(INDEX(Table_INPUT_2D[Y],MATCH(D74,Table_INPUT_2D[Unique ID],0)),"")</f>
        <v>4619.9480000000003</v>
      </c>
      <c r="G74" s="104">
        <f>_xlfn.IFNA(INDEX(Table_INPUT_2D[Z],MATCH(D74,Table_INPUT_2D[Unique ID],0)),"")</f>
        <v>236.07599999999999</v>
      </c>
      <c r="I74" s="85">
        <f>AVERAGE(G74:G75)</f>
        <v>236.07499999999999</v>
      </c>
      <c r="J74" s="91" t="e">
        <f>I73-I74</f>
        <v>#VALUE!</v>
      </c>
    </row>
    <row r="75" spans="3:10" x14ac:dyDescent="0.25">
      <c r="D75" s="73" t="s">
        <v>327</v>
      </c>
      <c r="E75" s="104">
        <f>_xlfn.IFNA(INDEX(Table_INPUT_2D[X],MATCH($D75,Table_INPUT_2D[Unique ID],0)),"")</f>
        <v>11097.471</v>
      </c>
      <c r="F75" s="104">
        <f>_xlfn.IFNA(INDEX(Table_INPUT_2D[Y],MATCH(D75,Table_INPUT_2D[Unique ID],0)),"")</f>
        <v>4619.9480000000003</v>
      </c>
      <c r="G75" s="104">
        <f>_xlfn.IFNA(INDEX(Table_INPUT_2D[Z],MATCH(D75,Table_INPUT_2D[Unique ID],0)),"")</f>
        <v>236.07400000000001</v>
      </c>
    </row>
    <row r="76" spans="3:10" x14ac:dyDescent="0.25">
      <c r="E76" s="99"/>
      <c r="F76" s="99"/>
      <c r="G76" s="99"/>
    </row>
    <row r="77" spans="3:10" x14ac:dyDescent="0.25">
      <c r="C77" s="85" t="s">
        <v>400</v>
      </c>
      <c r="D77" s="100" t="e">
        <f>D69-J74</f>
        <v>#VALUE!</v>
      </c>
      <c r="F77" s="99"/>
      <c r="G77" s="99"/>
    </row>
    <row r="78" spans="3:10" x14ac:dyDescent="0.25">
      <c r="C78" s="85" t="s">
        <v>406</v>
      </c>
      <c r="D78" s="100">
        <f>Output!L75</f>
        <v>154.91452427685979</v>
      </c>
    </row>
    <row r="79" spans="3:10" x14ac:dyDescent="0.25">
      <c r="C79" s="85" t="s">
        <v>460</v>
      </c>
      <c r="D79" s="98" t="e">
        <f>D78-D77</f>
        <v>#VALUE!</v>
      </c>
    </row>
    <row r="81" spans="1:10" x14ac:dyDescent="0.25">
      <c r="A81" s="94"/>
    </row>
    <row r="82" spans="1:10" x14ac:dyDescent="0.25">
      <c r="A82" s="94" t="s">
        <v>397</v>
      </c>
      <c r="B82" s="95"/>
      <c r="C82" s="96"/>
      <c r="I82" s="105"/>
    </row>
    <row r="83" spans="1:10" x14ac:dyDescent="0.25">
      <c r="A83" s="94"/>
      <c r="B83" s="95"/>
      <c r="C83" s="96"/>
      <c r="I83" s="105"/>
    </row>
    <row r="84" spans="1:10" x14ac:dyDescent="0.25">
      <c r="B84" s="97" t="s">
        <v>383</v>
      </c>
    </row>
    <row r="85" spans="1:10" x14ac:dyDescent="0.25">
      <c r="C85" s="85" t="s">
        <v>376</v>
      </c>
      <c r="D85" s="85" t="s">
        <v>382</v>
      </c>
    </row>
    <row r="86" spans="1:10" x14ac:dyDescent="0.25">
      <c r="C86" s="85" t="s">
        <v>398</v>
      </c>
      <c r="D86" s="98">
        <f>D13</f>
        <v>177.56177631032551</v>
      </c>
    </row>
    <row r="87" spans="1:10" x14ac:dyDescent="0.25">
      <c r="C87" s="85" t="s">
        <v>385</v>
      </c>
      <c r="D87" s="98">
        <f>J13</f>
        <v>1.6930000000000001</v>
      </c>
    </row>
    <row r="88" spans="1:10" x14ac:dyDescent="0.25">
      <c r="D88" s="99"/>
    </row>
    <row r="89" spans="1:10" x14ac:dyDescent="0.25">
      <c r="C89" s="85" t="s">
        <v>399</v>
      </c>
      <c r="D89" s="100">
        <f>D86+D87</f>
        <v>179.25477631032552</v>
      </c>
    </row>
    <row r="91" spans="1:10" x14ac:dyDescent="0.25">
      <c r="C91" s="85" t="s">
        <v>390</v>
      </c>
    </row>
    <row r="92" spans="1:10" x14ac:dyDescent="0.25">
      <c r="C92" s="101" t="s">
        <v>372</v>
      </c>
      <c r="D92" s="101" t="s">
        <v>376</v>
      </c>
      <c r="E92" s="102" t="s">
        <v>39</v>
      </c>
      <c r="F92" s="102" t="s">
        <v>40</v>
      </c>
      <c r="G92" s="102" t="s">
        <v>41</v>
      </c>
      <c r="H92" s="101"/>
      <c r="I92" s="102" t="s">
        <v>387</v>
      </c>
      <c r="J92" s="102" t="s">
        <v>388</v>
      </c>
    </row>
    <row r="93" spans="1:10" x14ac:dyDescent="0.25">
      <c r="C93" s="92" t="s">
        <v>361</v>
      </c>
      <c r="D93" s="73" t="s">
        <v>361</v>
      </c>
      <c r="E93" s="103">
        <f>IFERROR(INDEX(ARB_STN_CRD[X],MATCH(D93,ARB_STN_CRD[STN],0)),"")</f>
        <v>11259.041999999999</v>
      </c>
      <c r="F93" s="103">
        <f>IFERROR(INDEX(ARB_STN_CRD[Y],MATCH(E93,ARB_STN_CRD[X],0)),"")</f>
        <v>4523.2060000000001</v>
      </c>
      <c r="G93" s="103">
        <f>IFERROR(INDEX(ARB_STN_CRD[Z],MATCH(F93,ARB_STN_CRD[Y],0)),"")</f>
        <v>260.411</v>
      </c>
      <c r="I93" s="91">
        <f>G93</f>
        <v>260.411</v>
      </c>
    </row>
    <row r="94" spans="1:10" x14ac:dyDescent="0.25">
      <c r="D94" s="73" t="s">
        <v>350</v>
      </c>
      <c r="E94" s="104">
        <f>_xlfn.IFNA(INDEX(Table_INPUT_2D[X],MATCH(D94,Table_INPUT_2D[Unique ID],0)),"")</f>
        <v>11256.143</v>
      </c>
      <c r="F94" s="104">
        <f>_xlfn.IFNA(INDEX(Table_INPUT_2D[Y],MATCH(D94,Table_INPUT_2D[Unique ID],0)),"")</f>
        <v>4535.0839999999998</v>
      </c>
      <c r="G94" s="104">
        <f>_xlfn.IFNA(INDEX(Table_INPUT_2D[Z],MATCH(D94,Table_INPUT_2D[Unique ID],0)),"")</f>
        <v>251.81399999999999</v>
      </c>
      <c r="I94" s="85">
        <f>AVERAGE(G94:G95)</f>
        <v>251.81399999999999</v>
      </c>
      <c r="J94" s="91">
        <f>I93-I94</f>
        <v>8.5970000000000084</v>
      </c>
    </row>
    <row r="95" spans="1:10" x14ac:dyDescent="0.25">
      <c r="D95" s="73" t="s">
        <v>351</v>
      </c>
      <c r="E95" s="104">
        <f>_xlfn.IFNA(INDEX(Table_INPUT_2D[X],MATCH($D95,Table_INPUT_2D[Unique ID],0)),"")</f>
        <v>11256.143</v>
      </c>
      <c r="F95" s="104">
        <f>_xlfn.IFNA(INDEX(Table_INPUT_2D[Y],MATCH(D95,Table_INPUT_2D[Unique ID],0)),"")</f>
        <v>4535.0839999999998</v>
      </c>
      <c r="G95" s="104">
        <f>_xlfn.IFNA(INDEX(Table_INPUT_2D[Z],MATCH(D95,Table_INPUT_2D[Unique ID],0)),"")</f>
        <v>251.81399999999999</v>
      </c>
    </row>
    <row r="96" spans="1:10" x14ac:dyDescent="0.25">
      <c r="E96" s="99"/>
      <c r="F96" s="99"/>
      <c r="G96" s="99"/>
    </row>
    <row r="97" spans="1:12" x14ac:dyDescent="0.25">
      <c r="C97" s="85" t="s">
        <v>403</v>
      </c>
      <c r="D97" s="100">
        <f>D89-J94</f>
        <v>170.65777631032552</v>
      </c>
      <c r="F97" s="99"/>
      <c r="G97" s="99"/>
    </row>
    <row r="98" spans="1:12" x14ac:dyDescent="0.25">
      <c r="C98" s="85" t="s">
        <v>407</v>
      </c>
      <c r="D98" s="100">
        <f>Output!L84</f>
        <v>170.65688810077268</v>
      </c>
      <c r="F98" s="98"/>
    </row>
    <row r="99" spans="1:12" x14ac:dyDescent="0.25">
      <c r="C99" s="85" t="s">
        <v>460</v>
      </c>
      <c r="D99" s="98">
        <f>D98-D97</f>
        <v>-8.882095528406353E-4</v>
      </c>
    </row>
    <row r="102" spans="1:12" x14ac:dyDescent="0.25">
      <c r="A102" s="94" t="s">
        <v>718</v>
      </c>
      <c r="B102" s="95"/>
      <c r="C102" s="96"/>
      <c r="D102" s="154"/>
      <c r="E102" s="154"/>
      <c r="F102" s="154"/>
      <c r="G102" s="154"/>
      <c r="H102" s="154"/>
      <c r="I102" s="105"/>
      <c r="J102" s="154"/>
      <c r="K102" s="154"/>
      <c r="L102" s="154"/>
    </row>
    <row r="103" spans="1:12" x14ac:dyDescent="0.25">
      <c r="A103" s="94"/>
      <c r="B103" s="95"/>
      <c r="C103" s="96"/>
      <c r="D103" s="154"/>
      <c r="E103" s="154"/>
      <c r="F103" s="154"/>
      <c r="G103" s="154"/>
      <c r="H103" s="154"/>
      <c r="I103" s="105"/>
      <c r="J103" s="154"/>
      <c r="K103" s="154"/>
      <c r="L103" s="154"/>
    </row>
    <row r="104" spans="1:12" x14ac:dyDescent="0.25">
      <c r="A104" s="154"/>
      <c r="B104" s="97" t="s">
        <v>383</v>
      </c>
      <c r="C104" s="154"/>
      <c r="D104" s="154"/>
      <c r="E104" s="154"/>
      <c r="F104" s="154"/>
      <c r="G104" s="154"/>
      <c r="H104" s="154"/>
      <c r="I104" s="154"/>
      <c r="J104" s="154"/>
      <c r="K104" s="154"/>
      <c r="L104" s="154"/>
    </row>
    <row r="105" spans="1:12" x14ac:dyDescent="0.25">
      <c r="A105" s="154"/>
      <c r="B105" s="154"/>
      <c r="C105" s="154" t="s">
        <v>376</v>
      </c>
      <c r="D105" s="154" t="s">
        <v>382</v>
      </c>
      <c r="E105" s="154"/>
      <c r="F105" s="154"/>
      <c r="G105" s="154"/>
      <c r="H105" s="154"/>
      <c r="I105" s="154"/>
      <c r="J105" s="154"/>
      <c r="K105" s="154"/>
      <c r="L105" s="154"/>
    </row>
    <row r="106" spans="1:12" x14ac:dyDescent="0.25">
      <c r="A106" s="154"/>
      <c r="B106" s="154"/>
      <c r="C106" s="182" t="s">
        <v>709</v>
      </c>
      <c r="D106" s="98">
        <f>D14</f>
        <v>186.3617763103255</v>
      </c>
      <c r="E106" s="154"/>
      <c r="F106" s="154"/>
      <c r="G106" s="154"/>
      <c r="H106" s="154"/>
      <c r="I106" s="154"/>
      <c r="J106" s="154"/>
      <c r="K106" s="154"/>
      <c r="L106" s="154"/>
    </row>
    <row r="107" spans="1:12" x14ac:dyDescent="0.25">
      <c r="A107" s="154"/>
      <c r="B107" s="154"/>
      <c r="C107" s="154" t="s">
        <v>385</v>
      </c>
      <c r="D107" s="98">
        <f>J14</f>
        <v>1.597</v>
      </c>
      <c r="E107" s="154"/>
      <c r="F107" s="154"/>
      <c r="G107" s="154"/>
      <c r="H107" s="154"/>
      <c r="I107" s="154"/>
      <c r="J107" s="154"/>
      <c r="K107" s="154"/>
      <c r="L107" s="154"/>
    </row>
    <row r="108" spans="1:12" x14ac:dyDescent="0.25">
      <c r="A108" s="154"/>
      <c r="B108" s="154"/>
      <c r="C108" s="154"/>
      <c r="D108" s="99"/>
      <c r="E108" s="154"/>
      <c r="F108" s="154"/>
      <c r="G108" s="154"/>
      <c r="H108" s="154"/>
      <c r="I108" s="154"/>
      <c r="J108" s="154"/>
      <c r="K108" s="154"/>
      <c r="L108" s="154"/>
    </row>
    <row r="109" spans="1:12" x14ac:dyDescent="0.25">
      <c r="A109" s="154"/>
      <c r="B109" s="154"/>
      <c r="C109" s="182" t="s">
        <v>715</v>
      </c>
      <c r="D109" s="100">
        <f>D106+D107</f>
        <v>187.9587763103255</v>
      </c>
      <c r="E109" s="154"/>
      <c r="F109" s="154"/>
      <c r="G109" s="154"/>
      <c r="H109" s="154"/>
      <c r="I109" s="154"/>
      <c r="J109" s="154"/>
      <c r="K109" s="154"/>
      <c r="L109" s="154"/>
    </row>
    <row r="110" spans="1:12" x14ac:dyDescent="0.25">
      <c r="A110" s="154"/>
      <c r="B110" s="154"/>
      <c r="C110" s="154"/>
      <c r="D110" s="154"/>
      <c r="E110" s="154"/>
      <c r="F110" s="154"/>
      <c r="G110" s="154"/>
      <c r="H110" s="154"/>
      <c r="I110" s="154"/>
      <c r="J110" s="154"/>
      <c r="K110" s="154"/>
      <c r="L110" s="154"/>
    </row>
    <row r="111" spans="1:12" x14ac:dyDescent="0.25">
      <c r="A111" s="154"/>
      <c r="B111" s="154"/>
      <c r="C111" s="154" t="s">
        <v>390</v>
      </c>
      <c r="D111" s="154"/>
      <c r="E111" s="154"/>
      <c r="F111" s="154"/>
      <c r="G111" s="154"/>
      <c r="H111" s="154"/>
      <c r="I111" s="154"/>
      <c r="J111" s="154"/>
      <c r="K111" s="154"/>
      <c r="L111" s="154"/>
    </row>
    <row r="112" spans="1:12" x14ac:dyDescent="0.25">
      <c r="A112" s="154"/>
      <c r="B112" s="154"/>
      <c r="C112" s="101" t="s">
        <v>372</v>
      </c>
      <c r="D112" s="101" t="s">
        <v>376</v>
      </c>
      <c r="E112" s="102" t="s">
        <v>39</v>
      </c>
      <c r="F112" s="102" t="s">
        <v>40</v>
      </c>
      <c r="G112" s="102" t="s">
        <v>41</v>
      </c>
      <c r="H112" s="101"/>
      <c r="I112" s="102" t="s">
        <v>387</v>
      </c>
      <c r="J112" s="102" t="s">
        <v>388</v>
      </c>
      <c r="K112" s="154"/>
      <c r="L112" s="154"/>
    </row>
    <row r="113" spans="1:12" x14ac:dyDescent="0.25">
      <c r="A113" s="154"/>
      <c r="B113" s="154"/>
      <c r="C113" s="182" t="s">
        <v>448</v>
      </c>
      <c r="D113" s="73" t="s">
        <v>448</v>
      </c>
      <c r="E113" s="103">
        <f>IFERROR(INDEX(ARB_STN_CRD[X],MATCH(D113,ARB_STN_CRD[STN],0)),"")</f>
        <v>11356.210999999999</v>
      </c>
      <c r="F113" s="103">
        <f>IFERROR(INDEX(ARB_STN_CRD[Y],MATCH(E113,ARB_STN_CRD[X],0)),"")</f>
        <v>4488.2640000000001</v>
      </c>
      <c r="G113" s="103">
        <f>IFERROR(INDEX(ARB_STN_CRD[Z],MATCH(F113,ARB_STN_CRD[Y],0)),"")</f>
        <v>269.11599999999999</v>
      </c>
      <c r="H113" s="154"/>
      <c r="I113" s="91">
        <f>G113</f>
        <v>269.11599999999999</v>
      </c>
      <c r="J113" s="154"/>
      <c r="K113" s="154"/>
      <c r="L113" s="154"/>
    </row>
    <row r="114" spans="1:12" x14ac:dyDescent="0.25">
      <c r="A114" s="154"/>
      <c r="B114" s="154"/>
      <c r="C114" s="154"/>
      <c r="D114" s="73" t="s">
        <v>486</v>
      </c>
      <c r="E114" s="104">
        <f>_xlfn.IFNA(INDEX(Table_INPUT_2D[X],MATCH(D114,Table_INPUT_2D[Unique ID],0)),"")</f>
        <v>11331.939</v>
      </c>
      <c r="F114" s="104">
        <f>_xlfn.IFNA(INDEX(Table_INPUT_2D[Y],MATCH(D114,Table_INPUT_2D[Unique ID],0)),"")</f>
        <v>4487.125</v>
      </c>
      <c r="G114" s="104">
        <f>_xlfn.IFNA(INDEX(Table_INPUT_2D[Z],MATCH(D114,Table_INPUT_2D[Unique ID],0)),"")</f>
        <v>270.49900000000002</v>
      </c>
      <c r="H114" s="154"/>
      <c r="I114" s="154">
        <f>AVERAGE(G114:G115)</f>
        <v>270.49900000000002</v>
      </c>
      <c r="J114" s="91">
        <f>I113-I114</f>
        <v>-1.3830000000000382</v>
      </c>
      <c r="K114" s="154"/>
      <c r="L114" s="154"/>
    </row>
    <row r="115" spans="1:12" x14ac:dyDescent="0.25">
      <c r="A115" s="154"/>
      <c r="B115" s="154"/>
      <c r="C115" s="154"/>
      <c r="D115" s="73" t="s">
        <v>487</v>
      </c>
      <c r="E115" s="104">
        <f>_xlfn.IFNA(INDEX(Table_INPUT_2D[X],MATCH($D115,Table_INPUT_2D[Unique ID],0)),"")</f>
        <v>11331.939</v>
      </c>
      <c r="F115" s="104">
        <f>_xlfn.IFNA(INDEX(Table_INPUT_2D[Y],MATCH(D115,Table_INPUT_2D[Unique ID],0)),"")</f>
        <v>4487.125</v>
      </c>
      <c r="G115" s="104">
        <f>_xlfn.IFNA(INDEX(Table_INPUT_2D[Z],MATCH(D115,Table_INPUT_2D[Unique ID],0)),"")</f>
        <v>270.49900000000002</v>
      </c>
      <c r="H115" s="154"/>
      <c r="I115" s="154"/>
      <c r="J115" s="154"/>
      <c r="K115" s="154"/>
      <c r="L115" s="154"/>
    </row>
    <row r="116" spans="1:12" x14ac:dyDescent="0.25">
      <c r="A116" s="154"/>
      <c r="B116" s="154"/>
      <c r="C116" s="154"/>
      <c r="D116" s="154"/>
      <c r="E116" s="99"/>
      <c r="F116" s="99"/>
      <c r="G116" s="99"/>
      <c r="H116" s="154"/>
      <c r="I116" s="154"/>
      <c r="J116" s="154"/>
      <c r="K116" s="154"/>
      <c r="L116" s="154"/>
    </row>
    <row r="117" spans="1:12" x14ac:dyDescent="0.25">
      <c r="A117" s="154"/>
      <c r="B117" s="154"/>
      <c r="C117" s="182" t="s">
        <v>716</v>
      </c>
      <c r="D117" s="100">
        <f>D109-J114</f>
        <v>189.34177631032554</v>
      </c>
      <c r="E117" s="154"/>
      <c r="F117" s="99"/>
      <c r="G117" s="99"/>
      <c r="H117" s="154"/>
      <c r="I117" s="154"/>
      <c r="J117" s="154"/>
      <c r="K117" s="154"/>
      <c r="L117" s="154"/>
    </row>
    <row r="118" spans="1:12" x14ac:dyDescent="0.25">
      <c r="A118" s="154"/>
      <c r="B118" s="154"/>
      <c r="C118" s="182" t="s">
        <v>717</v>
      </c>
      <c r="D118" s="100">
        <f>Output!L87</f>
        <v>189.3454245867772</v>
      </c>
      <c r="E118" s="154"/>
      <c r="F118" s="154"/>
      <c r="G118" s="154"/>
      <c r="H118" s="154"/>
      <c r="I118" s="154"/>
      <c r="J118" s="154"/>
      <c r="K118" s="154"/>
      <c r="L118" s="154"/>
    </row>
    <row r="119" spans="1:12" x14ac:dyDescent="0.25">
      <c r="A119" s="154"/>
      <c r="B119" s="154"/>
      <c r="C119" s="154" t="s">
        <v>460</v>
      </c>
      <c r="D119" s="98">
        <f>D118-D117</f>
        <v>3.6482764516563293E-3</v>
      </c>
      <c r="E119" s="154"/>
      <c r="F119" s="154"/>
      <c r="G119" s="154"/>
      <c r="H119" s="154"/>
      <c r="I119" s="154"/>
      <c r="J119" s="154"/>
      <c r="K119" s="154"/>
      <c r="L119" s="154"/>
    </row>
    <row r="122" spans="1:12" x14ac:dyDescent="0.25">
      <c r="A122" s="94" t="s">
        <v>719</v>
      </c>
      <c r="B122" s="95"/>
      <c r="C122" s="96"/>
      <c r="D122" s="154"/>
      <c r="E122" s="154"/>
      <c r="F122" s="154"/>
      <c r="G122" s="154"/>
      <c r="H122" s="154"/>
      <c r="I122" s="105"/>
      <c r="J122" s="154"/>
      <c r="K122" s="154"/>
    </row>
    <row r="123" spans="1:12" x14ac:dyDescent="0.25">
      <c r="A123" s="94"/>
      <c r="B123" s="95"/>
      <c r="C123" s="96"/>
      <c r="D123" s="154"/>
      <c r="E123" s="154"/>
      <c r="F123" s="154"/>
      <c r="G123" s="154"/>
      <c r="H123" s="154"/>
      <c r="I123" s="105"/>
      <c r="J123" s="154"/>
      <c r="K123" s="154"/>
    </row>
    <row r="124" spans="1:12" x14ac:dyDescent="0.25">
      <c r="A124" s="154"/>
      <c r="B124" s="97" t="s">
        <v>383</v>
      </c>
      <c r="C124" s="154"/>
      <c r="D124" s="154"/>
      <c r="E124" s="154"/>
      <c r="F124" s="154"/>
      <c r="G124" s="154"/>
      <c r="H124" s="154"/>
      <c r="I124" s="154"/>
      <c r="J124" s="154"/>
      <c r="K124" s="154"/>
    </row>
    <row r="125" spans="1:12" x14ac:dyDescent="0.25">
      <c r="A125" s="154"/>
      <c r="B125" s="154"/>
      <c r="C125" s="154" t="s">
        <v>376</v>
      </c>
      <c r="D125" s="154" t="s">
        <v>382</v>
      </c>
      <c r="E125" s="154"/>
      <c r="F125" s="154"/>
      <c r="G125" s="154"/>
      <c r="H125" s="154"/>
      <c r="I125" s="154"/>
      <c r="J125" s="154"/>
      <c r="K125" s="154"/>
    </row>
    <row r="126" spans="1:12" x14ac:dyDescent="0.25">
      <c r="A126" s="154"/>
      <c r="B126" s="154"/>
      <c r="C126" s="182" t="s">
        <v>720</v>
      </c>
      <c r="D126" s="98">
        <f>D15</f>
        <v>3.6776310325500106E-2</v>
      </c>
      <c r="E126" s="154"/>
      <c r="F126" s="154"/>
      <c r="G126" s="154"/>
      <c r="H126" s="154"/>
      <c r="I126" s="154"/>
      <c r="J126" s="154"/>
      <c r="K126" s="154"/>
    </row>
    <row r="127" spans="1:12" x14ac:dyDescent="0.25">
      <c r="A127" s="154"/>
      <c r="B127" s="154"/>
      <c r="C127" s="154" t="s">
        <v>385</v>
      </c>
      <c r="D127" s="98">
        <f>J15</f>
        <v>1.6080000000000001</v>
      </c>
      <c r="E127" s="154"/>
      <c r="F127" s="154"/>
      <c r="G127" s="154"/>
      <c r="H127" s="154"/>
      <c r="I127" s="154"/>
      <c r="J127" s="154"/>
      <c r="K127" s="154"/>
    </row>
    <row r="128" spans="1:12" x14ac:dyDescent="0.25">
      <c r="A128" s="154"/>
      <c r="B128" s="154"/>
      <c r="C128" s="154"/>
      <c r="D128" s="99"/>
      <c r="E128" s="154"/>
      <c r="F128" s="154"/>
      <c r="G128" s="154"/>
      <c r="H128" s="154"/>
      <c r="I128" s="154"/>
      <c r="J128" s="154"/>
      <c r="K128" s="154"/>
    </row>
    <row r="129" spans="1:11" x14ac:dyDescent="0.25">
      <c r="A129" s="154"/>
      <c r="B129" s="154"/>
      <c r="C129" s="182" t="s">
        <v>721</v>
      </c>
      <c r="D129" s="100">
        <f>D126+D127</f>
        <v>1.6447763103255002</v>
      </c>
      <c r="E129" s="154"/>
      <c r="F129" s="154"/>
      <c r="G129" s="154"/>
      <c r="H129" s="154"/>
      <c r="I129" s="154"/>
      <c r="J129" s="154"/>
      <c r="K129" s="154"/>
    </row>
    <row r="130" spans="1:11" x14ac:dyDescent="0.25">
      <c r="A130" s="154"/>
      <c r="B130" s="154"/>
      <c r="C130" s="154"/>
      <c r="D130" s="154"/>
      <c r="E130" s="154"/>
      <c r="F130" s="154"/>
      <c r="G130" s="154"/>
      <c r="H130" s="154"/>
      <c r="I130" s="154"/>
      <c r="J130" s="154"/>
      <c r="K130" s="154"/>
    </row>
    <row r="131" spans="1:11" x14ac:dyDescent="0.25">
      <c r="A131" s="154"/>
      <c r="B131" s="154"/>
      <c r="C131" s="154" t="s">
        <v>390</v>
      </c>
      <c r="D131" s="154"/>
      <c r="E131" s="154"/>
      <c r="F131" s="154"/>
      <c r="G131" s="154"/>
      <c r="H131" s="154"/>
      <c r="I131" s="154"/>
      <c r="J131" s="154"/>
      <c r="K131" s="154"/>
    </row>
    <row r="132" spans="1:11" x14ac:dyDescent="0.25">
      <c r="A132" s="154"/>
      <c r="B132" s="154"/>
      <c r="C132" s="101" t="s">
        <v>372</v>
      </c>
      <c r="D132" s="101" t="s">
        <v>376</v>
      </c>
      <c r="E132" s="102" t="s">
        <v>39</v>
      </c>
      <c r="F132" s="102" t="s">
        <v>40</v>
      </c>
      <c r="G132" s="102" t="s">
        <v>41</v>
      </c>
      <c r="H132" s="101"/>
      <c r="I132" s="102" t="s">
        <v>387</v>
      </c>
      <c r="J132" s="102" t="s">
        <v>388</v>
      </c>
      <c r="K132" s="154"/>
    </row>
    <row r="133" spans="1:11" x14ac:dyDescent="0.25">
      <c r="A133" s="154"/>
      <c r="B133" s="154"/>
      <c r="C133" s="182" t="s">
        <v>548</v>
      </c>
      <c r="D133" s="73" t="s">
        <v>548</v>
      </c>
      <c r="E133" s="103">
        <f>IFERROR(INDEX(ARB_STN_CRD[X],MATCH(D133,ARB_STN_CRD[STN],0)),"")</f>
        <v>11636.129000000001</v>
      </c>
      <c r="F133" s="103">
        <f>IFERROR(INDEX(ARB_STN_CRD[Y],MATCH(E133,ARB_STN_CRD[X],0)),"")</f>
        <v>4389.88</v>
      </c>
      <c r="G133" s="103">
        <f>IFERROR(INDEX(ARB_STN_CRD[Z],MATCH(F133,ARB_STN_CRD[Y],0)),"")</f>
        <v>236.92599999999999</v>
      </c>
      <c r="H133" s="154"/>
      <c r="I133" s="91">
        <f>G133</f>
        <v>236.92599999999999</v>
      </c>
      <c r="J133" s="154"/>
      <c r="K133" s="154"/>
    </row>
    <row r="134" spans="1:11" x14ac:dyDescent="0.25">
      <c r="A134" s="154"/>
      <c r="B134" s="154"/>
      <c r="C134" s="154"/>
      <c r="D134" s="73" t="s">
        <v>568</v>
      </c>
      <c r="E134" s="104">
        <f>_xlfn.IFNA(INDEX(Table_INPUT_2D[X],MATCH(D134,Table_INPUT_2D[Unique ID],0)),"")</f>
        <v>11640.251</v>
      </c>
      <c r="F134" s="104">
        <f>_xlfn.IFNA(INDEX(Table_INPUT_2D[Y],MATCH(D134,Table_INPUT_2D[Unique ID],0)),"")</f>
        <v>4397.308</v>
      </c>
      <c r="G134" s="104">
        <f>_xlfn.IFNA(INDEX(Table_INPUT_2D[Z],MATCH(D134,Table_INPUT_2D[Unique ID],0)),"")</f>
        <v>235.17699999999999</v>
      </c>
      <c r="H134" s="154"/>
      <c r="I134" s="154">
        <f>AVERAGE(G134:G135)</f>
        <v>235.17699999999999</v>
      </c>
      <c r="J134" s="91">
        <f>I133-I134</f>
        <v>1.7489999999999952</v>
      </c>
      <c r="K134" s="154"/>
    </row>
    <row r="135" spans="1:11" x14ac:dyDescent="0.25">
      <c r="A135" s="154"/>
      <c r="B135" s="154"/>
      <c r="C135" s="154"/>
      <c r="D135" s="73" t="s">
        <v>570</v>
      </c>
      <c r="E135" s="104">
        <f>_xlfn.IFNA(INDEX(Table_INPUT_2D[X],MATCH($D135,Table_INPUT_2D[Unique ID],0)),"")</f>
        <v>11640.251</v>
      </c>
      <c r="F135" s="104">
        <f>_xlfn.IFNA(INDEX(Table_INPUT_2D[Y],MATCH(D135,Table_INPUT_2D[Unique ID],0)),"")</f>
        <v>4397.3090000000002</v>
      </c>
      <c r="G135" s="104">
        <f>_xlfn.IFNA(INDEX(Table_INPUT_2D[Z],MATCH(D135,Table_INPUT_2D[Unique ID],0)),"")</f>
        <v>235.17699999999999</v>
      </c>
      <c r="H135" s="154"/>
      <c r="I135" s="154"/>
      <c r="J135" s="154"/>
      <c r="K135" s="154"/>
    </row>
    <row r="136" spans="1:11" x14ac:dyDescent="0.25">
      <c r="A136" s="154"/>
      <c r="B136" s="154"/>
      <c r="C136" s="154"/>
      <c r="D136" s="154"/>
      <c r="E136" s="99"/>
      <c r="F136" s="99"/>
      <c r="G136" s="99"/>
      <c r="H136" s="154"/>
      <c r="I136" s="154"/>
      <c r="J136" s="154"/>
      <c r="K136" s="154"/>
    </row>
    <row r="137" spans="1:11" x14ac:dyDescent="0.25">
      <c r="A137" s="154"/>
      <c r="B137" s="154"/>
      <c r="C137" s="182" t="s">
        <v>722</v>
      </c>
      <c r="D137" s="100">
        <f>D129-J134</f>
        <v>-0.10422368967449502</v>
      </c>
      <c r="E137" s="154"/>
      <c r="F137" s="99"/>
      <c r="G137" s="99"/>
      <c r="H137" s="154"/>
      <c r="I137" s="154"/>
      <c r="J137" s="154"/>
      <c r="K137" s="154"/>
    </row>
    <row r="138" spans="1:11" x14ac:dyDescent="0.25">
      <c r="A138" s="154"/>
      <c r="B138" s="154"/>
      <c r="C138" s="182" t="s">
        <v>723</v>
      </c>
      <c r="D138" s="100">
        <f>Output!L103</f>
        <v>154.0307337293392</v>
      </c>
      <c r="E138" s="154"/>
      <c r="F138" s="154"/>
      <c r="G138" s="154"/>
      <c r="H138" s="154"/>
      <c r="I138" s="154"/>
      <c r="J138" s="154"/>
      <c r="K138" s="154"/>
    </row>
    <row r="139" spans="1:11" x14ac:dyDescent="0.25">
      <c r="A139" s="154"/>
      <c r="B139" s="154"/>
      <c r="C139" s="154" t="s">
        <v>460</v>
      </c>
      <c r="D139" s="98">
        <f>D138-D137</f>
        <v>154.13495741901369</v>
      </c>
      <c r="E139" s="154"/>
      <c r="F139" s="154"/>
      <c r="G139" s="154"/>
      <c r="H139" s="154"/>
      <c r="I139" s="154"/>
      <c r="J139" s="154"/>
      <c r="K139" s="154"/>
    </row>
    <row r="142" spans="1:11" x14ac:dyDescent="0.25">
      <c r="A142" s="94" t="s">
        <v>724</v>
      </c>
      <c r="B142" s="95"/>
      <c r="C142" s="96"/>
      <c r="D142" s="154"/>
      <c r="E142" s="154"/>
      <c r="F142" s="154"/>
      <c r="G142" s="154"/>
      <c r="H142" s="154"/>
      <c r="I142" s="105"/>
      <c r="J142" s="154"/>
    </row>
    <row r="143" spans="1:11" x14ac:dyDescent="0.25">
      <c r="A143" s="94"/>
      <c r="B143" s="95"/>
      <c r="C143" s="96"/>
      <c r="D143" s="154"/>
      <c r="E143" s="154"/>
      <c r="F143" s="154"/>
      <c r="G143" s="154"/>
      <c r="H143" s="154"/>
      <c r="I143" s="105"/>
      <c r="J143" s="154"/>
    </row>
    <row r="144" spans="1:11" x14ac:dyDescent="0.25">
      <c r="A144" s="154"/>
      <c r="B144" s="97" t="s">
        <v>383</v>
      </c>
      <c r="C144" s="154"/>
      <c r="D144" s="154"/>
      <c r="E144" s="154"/>
      <c r="F144" s="154"/>
      <c r="G144" s="154"/>
      <c r="H144" s="154"/>
      <c r="I144" s="154"/>
      <c r="J144" s="154"/>
    </row>
    <row r="145" spans="1:10" x14ac:dyDescent="0.25">
      <c r="A145" s="154"/>
      <c r="B145" s="154"/>
      <c r="C145" s="154" t="s">
        <v>376</v>
      </c>
      <c r="D145" s="154" t="s">
        <v>382</v>
      </c>
      <c r="E145" s="154"/>
      <c r="F145" s="154"/>
      <c r="G145" s="154"/>
      <c r="H145" s="154"/>
      <c r="I145" s="154"/>
      <c r="J145" s="154"/>
    </row>
    <row r="146" spans="1:10" x14ac:dyDescent="0.25">
      <c r="A146" s="154"/>
      <c r="B146" s="154"/>
      <c r="C146" s="182" t="s">
        <v>725</v>
      </c>
      <c r="D146" s="98">
        <f>D16</f>
        <v>154.16877631032551</v>
      </c>
      <c r="E146" s="154"/>
      <c r="F146" s="154"/>
      <c r="G146" s="154"/>
      <c r="H146" s="154"/>
      <c r="I146" s="154"/>
      <c r="J146" s="154"/>
    </row>
    <row r="147" spans="1:10" x14ac:dyDescent="0.25">
      <c r="A147" s="154"/>
      <c r="B147" s="154"/>
      <c r="C147" s="154" t="s">
        <v>385</v>
      </c>
      <c r="D147" s="98">
        <f>J16</f>
        <v>0.41299999999999998</v>
      </c>
      <c r="E147" s="154"/>
      <c r="F147" s="154"/>
      <c r="G147" s="154"/>
      <c r="H147" s="154"/>
      <c r="I147" s="154"/>
      <c r="J147" s="154"/>
    </row>
    <row r="148" spans="1:10" x14ac:dyDescent="0.25">
      <c r="A148" s="154"/>
      <c r="B148" s="154"/>
      <c r="C148" s="154"/>
      <c r="D148" s="99"/>
      <c r="E148" s="154"/>
      <c r="F148" s="154"/>
      <c r="G148" s="154"/>
      <c r="H148" s="154"/>
      <c r="I148" s="154"/>
      <c r="J148" s="154"/>
    </row>
    <row r="149" spans="1:10" x14ac:dyDescent="0.25">
      <c r="A149" s="154"/>
      <c r="B149" s="154"/>
      <c r="C149" s="182" t="s">
        <v>726</v>
      </c>
      <c r="D149" s="100">
        <f>D146+D147</f>
        <v>154.58177631032552</v>
      </c>
      <c r="E149" s="154"/>
      <c r="F149" s="154"/>
      <c r="G149" s="154"/>
      <c r="H149" s="154"/>
      <c r="I149" s="154"/>
      <c r="J149" s="154"/>
    </row>
    <row r="150" spans="1:10" x14ac:dyDescent="0.25">
      <c r="A150" s="154"/>
      <c r="B150" s="154"/>
      <c r="C150" s="154"/>
      <c r="D150" s="154"/>
      <c r="E150" s="154"/>
      <c r="F150" s="154"/>
      <c r="G150" s="154"/>
      <c r="H150" s="154"/>
      <c r="I150" s="154"/>
      <c r="J150" s="154"/>
    </row>
    <row r="151" spans="1:10" x14ac:dyDescent="0.25">
      <c r="A151" s="154"/>
      <c r="B151" s="154"/>
      <c r="C151" s="154" t="s">
        <v>390</v>
      </c>
      <c r="D151" s="154"/>
      <c r="E151" s="154"/>
      <c r="F151" s="154"/>
      <c r="G151" s="154"/>
      <c r="H151" s="154"/>
      <c r="I151" s="154"/>
      <c r="J151" s="154"/>
    </row>
    <row r="152" spans="1:10" x14ac:dyDescent="0.25">
      <c r="A152" s="154"/>
      <c r="B152" s="154"/>
      <c r="C152" s="101" t="s">
        <v>372</v>
      </c>
      <c r="D152" s="101" t="s">
        <v>376</v>
      </c>
      <c r="E152" s="102" t="s">
        <v>39</v>
      </c>
      <c r="F152" s="102" t="s">
        <v>40</v>
      </c>
      <c r="G152" s="102" t="s">
        <v>41</v>
      </c>
      <c r="H152" s="101"/>
      <c r="I152" s="102" t="s">
        <v>387</v>
      </c>
      <c r="J152" s="102" t="s">
        <v>388</v>
      </c>
    </row>
    <row r="153" spans="1:10" x14ac:dyDescent="0.25">
      <c r="A153" s="154"/>
      <c r="B153" s="154"/>
      <c r="C153" s="182" t="s">
        <v>711</v>
      </c>
      <c r="D153" s="73" t="s">
        <v>711</v>
      </c>
      <c r="E153" s="103">
        <f>IFERROR(INDEX(ARB_STN_CRD[X],MATCH(D153,ARB_STN_CRD[STN],0)),"")</f>
        <v>0</v>
      </c>
      <c r="F153" s="103" t="str">
        <f>IFERROR(INDEX(ARB_STN_CRD[Y],MATCH(E153,ARB_STN_CRD[X],0)),"")</f>
        <v/>
      </c>
      <c r="G153" s="103" t="str">
        <f>IFERROR(INDEX(ARB_STN_CRD[Z],MATCH(F153,ARB_STN_CRD[Y],0)),"")</f>
        <v/>
      </c>
      <c r="H153" s="154"/>
      <c r="I153" s="91" t="str">
        <f>G153</f>
        <v/>
      </c>
      <c r="J153" s="154"/>
    </row>
    <row r="154" spans="1:10" x14ac:dyDescent="0.25">
      <c r="A154" s="154"/>
      <c r="B154" s="154"/>
      <c r="C154" s="154"/>
      <c r="D154" s="73" t="s">
        <v>727</v>
      </c>
      <c r="E154" s="104" t="str">
        <f>_xlfn.IFNA(INDEX(Table_INPUT_2D[X],MATCH(D154,Table_INPUT_2D[Unique ID],0)),"")</f>
        <v/>
      </c>
      <c r="F154" s="104" t="str">
        <f>_xlfn.IFNA(INDEX(Table_INPUT_2D[Y],MATCH(D154,Table_INPUT_2D[Unique ID],0)),"")</f>
        <v/>
      </c>
      <c r="G154" s="104" t="str">
        <f>_xlfn.IFNA(INDEX(Table_INPUT_2D[Z],MATCH(D154,Table_INPUT_2D[Unique ID],0)),"")</f>
        <v/>
      </c>
      <c r="H154" s="154"/>
      <c r="I154" s="154" t="e">
        <f>AVERAGE(G154:G155)</f>
        <v>#DIV/0!</v>
      </c>
      <c r="J154" s="91" t="e">
        <f>I153-I154</f>
        <v>#VALUE!</v>
      </c>
    </row>
    <row r="155" spans="1:10" x14ac:dyDescent="0.25">
      <c r="A155" s="154"/>
      <c r="B155" s="154"/>
      <c r="C155" s="154"/>
      <c r="D155" s="73" t="s">
        <v>728</v>
      </c>
      <c r="E155" s="104" t="str">
        <f>_xlfn.IFNA(INDEX(Table_INPUT_2D[X],MATCH($D155,Table_INPUT_2D[Unique ID],0)),"")</f>
        <v/>
      </c>
      <c r="F155" s="104" t="str">
        <f>_xlfn.IFNA(INDEX(Table_INPUT_2D[Y],MATCH(D155,Table_INPUT_2D[Unique ID],0)),"")</f>
        <v/>
      </c>
      <c r="G155" s="104" t="str">
        <f>_xlfn.IFNA(INDEX(Table_INPUT_2D[Z],MATCH(D155,Table_INPUT_2D[Unique ID],0)),"")</f>
        <v/>
      </c>
      <c r="H155" s="154"/>
      <c r="I155" s="154"/>
      <c r="J155" s="154"/>
    </row>
    <row r="156" spans="1:10" x14ac:dyDescent="0.25">
      <c r="A156" s="154"/>
      <c r="B156" s="154"/>
      <c r="C156" s="154"/>
      <c r="D156" s="154"/>
      <c r="E156" s="99"/>
      <c r="F156" s="99"/>
      <c r="G156" s="99"/>
      <c r="H156" s="154"/>
      <c r="I156" s="154"/>
      <c r="J156" s="154"/>
    </row>
    <row r="157" spans="1:10" x14ac:dyDescent="0.25">
      <c r="A157" s="154"/>
      <c r="B157" s="154"/>
      <c r="C157" s="182" t="s">
        <v>729</v>
      </c>
      <c r="D157" s="100" t="e">
        <f>D149-J154</f>
        <v>#VALUE!</v>
      </c>
      <c r="E157" s="154"/>
      <c r="F157" s="99"/>
      <c r="G157" s="99"/>
      <c r="H157" s="154"/>
      <c r="I157" s="154"/>
      <c r="J157" s="154"/>
    </row>
    <row r="158" spans="1:10" x14ac:dyDescent="0.25">
      <c r="A158" s="154"/>
      <c r="B158" s="154"/>
      <c r="C158" s="182" t="s">
        <v>730</v>
      </c>
      <c r="D158" s="100">
        <f>Output!L128</f>
        <v>139.25304287190121</v>
      </c>
      <c r="E158" s="154"/>
      <c r="F158" s="154"/>
      <c r="G158" s="154"/>
      <c r="H158" s="154"/>
      <c r="I158" s="154"/>
      <c r="J158" s="154"/>
    </row>
    <row r="159" spans="1:10" x14ac:dyDescent="0.25">
      <c r="A159" s="154"/>
      <c r="B159" s="154"/>
      <c r="C159" s="154" t="s">
        <v>460</v>
      </c>
      <c r="D159" s="98" t="e">
        <f>D158-D157</f>
        <v>#VALUE!</v>
      </c>
      <c r="E159" s="154"/>
      <c r="F159" s="154"/>
      <c r="G159" s="154"/>
      <c r="H159" s="154"/>
      <c r="I159" s="154"/>
      <c r="J159" s="154"/>
    </row>
    <row r="163" spans="1:11" x14ac:dyDescent="0.25">
      <c r="A163" s="94" t="s">
        <v>735</v>
      </c>
    </row>
    <row r="165" spans="1:11" x14ac:dyDescent="0.25">
      <c r="B165" s="97" t="s">
        <v>383</v>
      </c>
      <c r="C165" s="193"/>
      <c r="D165" s="193"/>
      <c r="E165" s="193"/>
      <c r="F165" s="193"/>
      <c r="G165" s="193"/>
      <c r="H165" s="193"/>
      <c r="I165" s="193"/>
      <c r="J165" s="193"/>
      <c r="K165" s="193"/>
    </row>
    <row r="166" spans="1:11" x14ac:dyDescent="0.25">
      <c r="B166" s="193"/>
      <c r="C166" s="193" t="s">
        <v>376</v>
      </c>
      <c r="D166" s="193" t="s">
        <v>382</v>
      </c>
      <c r="E166" s="193"/>
      <c r="F166" s="193"/>
      <c r="G166" s="193"/>
      <c r="H166" s="193"/>
      <c r="I166" s="193"/>
      <c r="J166" s="193"/>
      <c r="K166" s="193"/>
    </row>
    <row r="167" spans="1:11" x14ac:dyDescent="0.25">
      <c r="B167" s="193"/>
      <c r="C167" s="194" t="s">
        <v>736</v>
      </c>
      <c r="D167" s="98">
        <f>D17</f>
        <v>3.6776310325500106E-2</v>
      </c>
      <c r="E167" s="193"/>
      <c r="F167" s="193"/>
      <c r="G167" s="193"/>
      <c r="H167" s="193"/>
      <c r="I167" s="193"/>
      <c r="J167" s="193"/>
      <c r="K167" s="193"/>
    </row>
    <row r="168" spans="1:11" x14ac:dyDescent="0.25">
      <c r="B168" s="193"/>
      <c r="C168" s="193" t="s">
        <v>385</v>
      </c>
      <c r="D168" s="98">
        <f>J17</f>
        <v>0.41299999999999998</v>
      </c>
      <c r="E168" s="193"/>
      <c r="F168" s="193"/>
      <c r="G168" s="193"/>
      <c r="H168" s="193"/>
      <c r="I168" s="193"/>
      <c r="J168" s="193"/>
      <c r="K168" s="193"/>
    </row>
    <row r="169" spans="1:11" x14ac:dyDescent="0.25">
      <c r="B169" s="193"/>
      <c r="C169" s="193"/>
      <c r="D169" s="99"/>
      <c r="E169" s="193"/>
      <c r="F169" s="193"/>
      <c r="G169" s="193"/>
      <c r="H169" s="193"/>
      <c r="I169" s="193"/>
      <c r="J169" s="193"/>
      <c r="K169" s="193"/>
    </row>
    <row r="170" spans="1:11" x14ac:dyDescent="0.25">
      <c r="B170" s="193"/>
      <c r="C170" s="194" t="s">
        <v>737</v>
      </c>
      <c r="D170" s="100">
        <f>D167+D168</f>
        <v>0.44977631032550008</v>
      </c>
      <c r="E170" s="193"/>
      <c r="F170" s="193"/>
      <c r="G170" s="193"/>
      <c r="H170" s="193"/>
      <c r="I170" s="193"/>
      <c r="J170" s="193"/>
      <c r="K170" s="193"/>
    </row>
    <row r="171" spans="1:11" x14ac:dyDescent="0.25">
      <c r="B171" s="193"/>
      <c r="C171" s="193"/>
      <c r="D171" s="193"/>
      <c r="E171" s="193"/>
      <c r="F171" s="193"/>
      <c r="G171" s="193"/>
      <c r="H171" s="193"/>
      <c r="I171" s="193"/>
      <c r="J171" s="193"/>
      <c r="K171" s="193"/>
    </row>
    <row r="172" spans="1:11" x14ac:dyDescent="0.25">
      <c r="B172" s="193"/>
      <c r="C172" s="193" t="s">
        <v>390</v>
      </c>
      <c r="D172" s="193"/>
      <c r="E172" s="193"/>
      <c r="F172" s="193"/>
      <c r="G172" s="193"/>
      <c r="H172" s="193"/>
      <c r="I172" s="193"/>
      <c r="J172" s="193"/>
      <c r="K172" s="193"/>
    </row>
    <row r="173" spans="1:11" x14ac:dyDescent="0.25">
      <c r="B173" s="193"/>
      <c r="C173" s="101" t="s">
        <v>372</v>
      </c>
      <c r="D173" s="101" t="s">
        <v>376</v>
      </c>
      <c r="E173" s="102" t="s">
        <v>39</v>
      </c>
      <c r="F173" s="102" t="s">
        <v>40</v>
      </c>
      <c r="G173" s="102" t="s">
        <v>41</v>
      </c>
      <c r="H173" s="101"/>
      <c r="I173" s="102" t="s">
        <v>387</v>
      </c>
      <c r="J173" s="102" t="s">
        <v>388</v>
      </c>
      <c r="K173" s="193"/>
    </row>
    <row r="174" spans="1:11" x14ac:dyDescent="0.25">
      <c r="B174" s="193"/>
      <c r="C174" s="194" t="s">
        <v>710</v>
      </c>
      <c r="D174" s="73" t="s">
        <v>710</v>
      </c>
      <c r="E174" s="103">
        <f>IFERROR(INDEX(ARB_STN_CRD[X],MATCH(D174,ARB_STN_CRD[STN],0)),"")</f>
        <v>0</v>
      </c>
      <c r="F174" s="103" t="str">
        <f>IFERROR(INDEX(ARB_STN_CRD[Y],MATCH(E174,ARB_STN_CRD[X],0)),"")</f>
        <v/>
      </c>
      <c r="G174" s="103" t="str">
        <f>IFERROR(INDEX(ARB_STN_CRD[Z],MATCH(F174,ARB_STN_CRD[Y],0)),"")</f>
        <v/>
      </c>
      <c r="H174" s="193"/>
      <c r="I174" s="91" t="str">
        <f>G174</f>
        <v/>
      </c>
      <c r="J174" s="193"/>
      <c r="K174" s="193"/>
    </row>
    <row r="175" spans="1:11" x14ac:dyDescent="0.25">
      <c r="B175" s="193"/>
      <c r="C175" s="193"/>
      <c r="D175" s="73" t="s">
        <v>738</v>
      </c>
      <c r="E175" s="104">
        <f>_xlfn.IFNA(INDEX(Table_INPUT_2D[X],MATCH(D175,Table_INPUT_2D[Unique ID],0)),"")</f>
        <v>5023.451</v>
      </c>
      <c r="F175" s="104">
        <f>_xlfn.IFNA(INDEX(Table_INPUT_2D[Y],MATCH(D175,Table_INPUT_2D[Unique ID],0)),"")</f>
        <v>9976.4549999999999</v>
      </c>
      <c r="G175" s="104">
        <f>_xlfn.IFNA(INDEX(Table_INPUT_2D[Z],MATCH(D175,Table_INPUT_2D[Unique ID],0)),"")</f>
        <v>196.83500000000001</v>
      </c>
      <c r="H175" s="193"/>
      <c r="I175" s="193">
        <f>AVERAGE(G175:G176)</f>
        <v>196.83600000000001</v>
      </c>
      <c r="J175" s="91" t="e">
        <f>I174-I175</f>
        <v>#VALUE!</v>
      </c>
      <c r="K175" s="193"/>
    </row>
    <row r="176" spans="1:11" x14ac:dyDescent="0.25">
      <c r="B176" s="193"/>
      <c r="C176" s="193"/>
      <c r="D176" s="73" t="s">
        <v>739</v>
      </c>
      <c r="E176" s="104">
        <f>_xlfn.IFNA(INDEX(Table_INPUT_2D[X],MATCH($D176,Table_INPUT_2D[Unique ID],0)),"")</f>
        <v>5023.451</v>
      </c>
      <c r="F176" s="104">
        <f>_xlfn.IFNA(INDEX(Table_INPUT_2D[Y],MATCH(D176,Table_INPUT_2D[Unique ID],0)),"")</f>
        <v>9976.4549999999999</v>
      </c>
      <c r="G176" s="104">
        <f>_xlfn.IFNA(INDEX(Table_INPUT_2D[Z],MATCH(D176,Table_INPUT_2D[Unique ID],0)),"")</f>
        <v>196.83699999999999</v>
      </c>
      <c r="H176" s="193"/>
      <c r="I176" s="193"/>
      <c r="J176" s="193"/>
      <c r="K176" s="193"/>
    </row>
    <row r="177" spans="2:11" x14ac:dyDescent="0.25">
      <c r="B177" s="193"/>
      <c r="C177" s="193"/>
      <c r="D177" s="193"/>
      <c r="E177" s="99"/>
      <c r="F177" s="99"/>
      <c r="G177" s="99"/>
      <c r="H177" s="193"/>
      <c r="I177" s="193"/>
      <c r="J177" s="193"/>
      <c r="K177" s="193"/>
    </row>
    <row r="178" spans="2:11" x14ac:dyDescent="0.25">
      <c r="B178" s="193"/>
      <c r="C178" s="194" t="s">
        <v>746</v>
      </c>
      <c r="D178" s="100" t="e">
        <f>D170-J175</f>
        <v>#VALUE!</v>
      </c>
      <c r="E178" s="200" t="s">
        <v>761</v>
      </c>
      <c r="F178" s="99"/>
      <c r="G178" s="99"/>
      <c r="H178" s="193"/>
      <c r="I178" s="193"/>
      <c r="J178" s="193"/>
      <c r="K178" s="193"/>
    </row>
    <row r="179" spans="2:11" x14ac:dyDescent="0.25">
      <c r="B179" s="193"/>
      <c r="C179" s="194" t="s">
        <v>759</v>
      </c>
      <c r="D179" s="100">
        <f>'Survey Data'!AI186</f>
        <v>137.05140834481216</v>
      </c>
      <c r="E179" s="200" t="s">
        <v>761</v>
      </c>
      <c r="F179" s="193"/>
      <c r="G179" s="193"/>
      <c r="H179" s="193"/>
      <c r="I179" s="193"/>
      <c r="J179" s="193"/>
      <c r="K179" s="193"/>
    </row>
    <row r="180" spans="2:11" x14ac:dyDescent="0.25">
      <c r="B180" s="193"/>
      <c r="C180" s="193" t="s">
        <v>460</v>
      </c>
      <c r="D180" s="98" t="e">
        <f>D179-D178</f>
        <v>#VALUE!</v>
      </c>
      <c r="E180" s="193"/>
      <c r="F180" s="193"/>
      <c r="G180" s="193"/>
      <c r="H180" s="193"/>
      <c r="I180" s="193"/>
      <c r="J180" s="193"/>
      <c r="K180" s="193"/>
    </row>
    <row r="182" spans="2:11" x14ac:dyDescent="0.25">
      <c r="C182" s="194" t="s">
        <v>760</v>
      </c>
      <c r="D182" s="98">
        <v>137.03805</v>
      </c>
      <c r="E182" s="91"/>
    </row>
  </sheetData>
  <mergeCells count="5">
    <mergeCell ref="G8:J8"/>
    <mergeCell ref="B8:D8"/>
    <mergeCell ref="C4:E4"/>
    <mergeCell ref="C5:E5"/>
    <mergeCell ref="C6:E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50"/>
  </sheetPr>
  <dimension ref="A1:AZ447"/>
  <sheetViews>
    <sheetView topLeftCell="U13" zoomScale="91" zoomScaleNormal="91" workbookViewId="0">
      <selection activeCell="B255" sqref="B255"/>
    </sheetView>
  </sheetViews>
  <sheetFormatPr defaultColWidth="9.140625" defaultRowHeight="12.75" x14ac:dyDescent="0.2"/>
  <cols>
    <col min="1" max="1" width="17.28515625" style="20" bestFit="1" customWidth="1"/>
    <col min="2" max="2" width="16.28515625" style="20" bestFit="1" customWidth="1"/>
    <col min="3" max="3" width="18" style="20" bestFit="1" customWidth="1"/>
    <col min="4" max="4" width="18.5703125" style="20" bestFit="1" customWidth="1"/>
    <col min="5" max="5" width="23.5703125" style="20" bestFit="1" customWidth="1"/>
    <col min="6" max="9" width="14.5703125" style="2" customWidth="1"/>
    <col min="10" max="10" width="17.85546875" style="2" customWidth="1"/>
    <col min="11" max="11" width="14.5703125" style="2" customWidth="1"/>
    <col min="12" max="12" width="18.7109375" style="2" customWidth="1"/>
    <col min="13" max="13" width="14.5703125" style="2" customWidth="1"/>
    <col min="14" max="14" width="16.28515625" style="2" bestFit="1" customWidth="1"/>
    <col min="15" max="15" width="11.85546875" style="2" bestFit="1" customWidth="1"/>
    <col min="16" max="22" width="14.5703125" style="2" customWidth="1"/>
    <col min="23" max="23" width="17.85546875" style="2" bestFit="1" customWidth="1"/>
    <col min="24" max="26" width="14.5703125" style="14" customWidth="1"/>
    <col min="27" max="27" width="20.7109375" style="22" customWidth="1"/>
    <col min="28" max="28" width="14.5703125" style="14" customWidth="1"/>
    <col min="29" max="29" width="19" style="14" customWidth="1"/>
    <col min="30" max="30" width="16.28515625" style="14" customWidth="1"/>
    <col min="31" max="32" width="14.5703125" style="14" customWidth="1"/>
    <col min="33" max="33" width="14.5703125" style="22" customWidth="1"/>
    <col min="34" max="37" width="14.5703125" style="14" customWidth="1"/>
    <col min="38" max="38" width="15.28515625" style="14" customWidth="1"/>
    <col min="39" max="39" width="14.5703125" style="14" customWidth="1"/>
    <col min="40" max="256" width="14.5703125" style="2" customWidth="1"/>
    <col min="257" max="16384" width="9.140625" style="2"/>
  </cols>
  <sheetData>
    <row r="1" spans="1:12" x14ac:dyDescent="0.2">
      <c r="A1" s="2"/>
      <c r="B1" s="2"/>
      <c r="C1" s="2"/>
      <c r="D1" s="2"/>
      <c r="E1" s="2"/>
    </row>
    <row r="2" spans="1:12" ht="23.25" x14ac:dyDescent="0.35">
      <c r="A2" s="15" t="str">
        <f>Input!A2</f>
        <v>2D Calculations and Reductions for AA9 Menangle Road (Telstra Optic Fibre Line)</v>
      </c>
      <c r="B2" s="15"/>
      <c r="C2" s="2"/>
      <c r="D2" s="2"/>
      <c r="E2" s="2"/>
    </row>
    <row r="3" spans="1:12" ht="23.25" x14ac:dyDescent="0.35">
      <c r="A3" s="15"/>
      <c r="B3" s="15"/>
      <c r="C3" s="2"/>
      <c r="D3" s="2"/>
      <c r="E3" s="2"/>
    </row>
    <row r="4" spans="1:12" ht="23.25" x14ac:dyDescent="0.35">
      <c r="A4" s="54" t="s">
        <v>354</v>
      </c>
      <c r="B4" s="15"/>
      <c r="C4" s="2"/>
      <c r="D4" s="2"/>
      <c r="E4" s="2"/>
    </row>
    <row r="5" spans="1:12" x14ac:dyDescent="0.2">
      <c r="A5" s="16"/>
      <c r="B5" s="16"/>
      <c r="C5" s="2"/>
      <c r="D5" s="2"/>
      <c r="E5" s="2"/>
      <c r="I5" s="57"/>
      <c r="K5" s="2" t="s">
        <v>352</v>
      </c>
    </row>
    <row r="6" spans="1:12" x14ac:dyDescent="0.2">
      <c r="A6" s="27" t="s">
        <v>7</v>
      </c>
      <c r="B6" s="27" t="s">
        <v>8</v>
      </c>
      <c r="C6" s="27" t="s">
        <v>9</v>
      </c>
      <c r="D6" s="27" t="s">
        <v>10</v>
      </c>
      <c r="E6" s="27" t="s">
        <v>43</v>
      </c>
      <c r="G6" s="27" t="s">
        <v>6</v>
      </c>
      <c r="H6" s="27" t="s">
        <v>11</v>
      </c>
      <c r="I6" s="57"/>
      <c r="J6" s="2" t="s">
        <v>353</v>
      </c>
      <c r="K6" s="47">
        <f>Input!C15</f>
        <v>119.87468801652902</v>
      </c>
    </row>
    <row r="7" spans="1:12" x14ac:dyDescent="0.2">
      <c r="A7" s="19" t="s">
        <v>64</v>
      </c>
      <c r="B7" s="191">
        <f>IFERROR(INDEX(Table_INPUT_2D[X],MATCH(E7,Table_INPUT_2D[Unique ID],0)),0)</f>
        <v>9820.9500000000007</v>
      </c>
      <c r="C7" s="191">
        <f>IFERROR(INDEX(Table_INPUT_2D[Y],MATCH(E7,Table_INPUT_2D[Unique ID],0)),0)</f>
        <v>5174.308</v>
      </c>
      <c r="D7" s="191">
        <f>IFERROR(INDEX(Table_INPUT_2D[Z],MATCH(E7,Table_INPUT_2D[Unique ID],0)),0)</f>
        <v>193.249</v>
      </c>
      <c r="E7" s="9" t="s">
        <v>144</v>
      </c>
      <c r="G7" s="28">
        <f>AVERAGE(D7:D8)</f>
        <v>193.24950000000001</v>
      </c>
      <c r="H7" s="27"/>
      <c r="I7" s="57"/>
      <c r="J7" s="2" t="s">
        <v>75</v>
      </c>
      <c r="K7" s="52">
        <f>K6-H12</f>
        <v>119.488688016529</v>
      </c>
    </row>
    <row r="8" spans="1:12" x14ac:dyDescent="0.2">
      <c r="A8" s="19" t="s">
        <v>64</v>
      </c>
      <c r="B8" s="191">
        <f>IFERROR(INDEX(Table_INPUT_2D[X],MATCH(E8,Table_INPUT_2D[Unique ID],0)),0)</f>
        <v>9820.9509999999991</v>
      </c>
      <c r="C8" s="191">
        <f>IFERROR(INDEX(Table_INPUT_2D[Y],MATCH(E8,Table_INPUT_2D[Unique ID],0)),0)</f>
        <v>5174.3090000000002</v>
      </c>
      <c r="D8" s="191">
        <f>IFERROR(INDEX(Table_INPUT_2D[Z],MATCH(E8,Table_INPUT_2D[Unique ID],0)),0)</f>
        <v>193.25</v>
      </c>
      <c r="E8" s="9" t="s">
        <v>145</v>
      </c>
      <c r="G8" s="28"/>
      <c r="H8" s="28">
        <f>G9-G7</f>
        <v>7.4544999999999959</v>
      </c>
      <c r="I8" s="57"/>
      <c r="J8" s="2" t="s">
        <v>64</v>
      </c>
      <c r="K8" s="53">
        <f>K7-H8</f>
        <v>112.034188016529</v>
      </c>
    </row>
    <row r="9" spans="1:12" x14ac:dyDescent="0.2">
      <c r="A9" s="13" t="s">
        <v>75</v>
      </c>
      <c r="B9" s="191">
        <f>IFERROR(INDEX(Table_INPUT_2D[X],MATCH(E9,Table_INPUT_2D[Unique ID],0)),0)</f>
        <v>10011.450000000001</v>
      </c>
      <c r="C9" s="191">
        <f>IFERROR(INDEX(Table_INPUT_2D[Y],MATCH(E9,Table_INPUT_2D[Unique ID],0)),0)</f>
        <v>5068.3689999999997</v>
      </c>
      <c r="D9" s="191">
        <f>IFERROR(INDEX(Table_INPUT_2D[Z],MATCH(E9,Table_INPUT_2D[Unique ID],0)),0)</f>
        <v>200.70500000000001</v>
      </c>
      <c r="E9" s="12" t="s">
        <v>168</v>
      </c>
      <c r="G9" s="28">
        <f>AVERAGE(D9:D10)</f>
        <v>200.70400000000001</v>
      </c>
      <c r="I9" s="57"/>
      <c r="L9" s="33"/>
    </row>
    <row r="10" spans="1:12" x14ac:dyDescent="0.2">
      <c r="A10" s="13" t="s">
        <v>75</v>
      </c>
      <c r="B10" s="191">
        <f>IFERROR(INDEX(Table_INPUT_2D[X],MATCH(E10,Table_INPUT_2D[Unique ID],0)),0)</f>
        <v>10011.449000000001</v>
      </c>
      <c r="C10" s="191">
        <f>IFERROR(INDEX(Table_INPUT_2D[Y],MATCH(E10,Table_INPUT_2D[Unique ID],0)),0)</f>
        <v>5068.3680000000004</v>
      </c>
      <c r="D10" s="191">
        <f>IFERROR(INDEX(Table_INPUT_2D[Z],MATCH(E10,Table_INPUT_2D[Unique ID],0)),0)</f>
        <v>200.703</v>
      </c>
      <c r="E10" s="12" t="s">
        <v>169</v>
      </c>
      <c r="I10" s="57"/>
    </row>
    <row r="11" spans="1:12" x14ac:dyDescent="0.2">
      <c r="A11" s="51" t="s">
        <v>75</v>
      </c>
      <c r="B11" s="191">
        <f>IFERROR(INDEX(Table_INPUT_2D[X],MATCH(E11,Table_INPUT_2D[Unique ID],0)),0)</f>
        <v>10011.449000000001</v>
      </c>
      <c r="C11" s="191">
        <f>IFERROR(INDEX(Table_INPUT_2D[Y],MATCH(E11,Table_INPUT_2D[Unique ID],0)),0)</f>
        <v>5068.3689999999997</v>
      </c>
      <c r="D11" s="191">
        <f>IFERROR(INDEX(Table_INPUT_2D[Z],MATCH(E11,Table_INPUT_2D[Unique ID],0)),0)</f>
        <v>200.69</v>
      </c>
      <c r="E11" s="12" t="s">
        <v>172</v>
      </c>
      <c r="G11" s="28">
        <f>AVERAGE(D11:D12)</f>
        <v>200.69049999999999</v>
      </c>
    </row>
    <row r="12" spans="1:12" x14ac:dyDescent="0.2">
      <c r="A12" s="51" t="s">
        <v>75</v>
      </c>
      <c r="B12" s="191">
        <f>IFERROR(INDEX(Table_INPUT_2D[X],MATCH(E12,Table_INPUT_2D[Unique ID],0)),0)</f>
        <v>10011.450999999999</v>
      </c>
      <c r="C12" s="191">
        <f>IFERROR(INDEX(Table_INPUT_2D[Y],MATCH(E12,Table_INPUT_2D[Unique ID],0)),0)</f>
        <v>5068.3720000000003</v>
      </c>
      <c r="D12" s="191">
        <f>IFERROR(INDEX(Table_INPUT_2D[Z],MATCH(E12,Table_INPUT_2D[Unique ID],0)),0)</f>
        <v>200.691</v>
      </c>
      <c r="E12" s="12" t="s">
        <v>173</v>
      </c>
      <c r="H12" s="28">
        <f>G13-G11</f>
        <v>0.3860000000000241</v>
      </c>
    </row>
    <row r="13" spans="1:12" x14ac:dyDescent="0.2">
      <c r="A13" s="51" t="s">
        <v>76</v>
      </c>
      <c r="B13" s="191">
        <f>IFERROR(INDEX(Table_INPUT_2D[X],MATCH(E13,Table_INPUT_2D[Unique ID],0)),0)</f>
        <v>10027.143</v>
      </c>
      <c r="C13" s="191">
        <f>IFERROR(INDEX(Table_INPUT_2D[Y],MATCH(E13,Table_INPUT_2D[Unique ID],0)),0)</f>
        <v>5058.0209999999997</v>
      </c>
      <c r="D13" s="191">
        <f>IFERROR(INDEX(Table_INPUT_2D[Z],MATCH(E13,Table_INPUT_2D[Unique ID],0)),0)</f>
        <v>201.077</v>
      </c>
      <c r="E13" s="51" t="s">
        <v>176</v>
      </c>
      <c r="G13" s="28">
        <f>AVERAGE(D13:D14)</f>
        <v>201.07650000000001</v>
      </c>
    </row>
    <row r="14" spans="1:12" x14ac:dyDescent="0.2">
      <c r="A14" s="51" t="s">
        <v>76</v>
      </c>
      <c r="B14" s="191">
        <f>IFERROR(INDEX(Table_INPUT_2D[X],MATCH(E14,Table_INPUT_2D[Unique ID],0)),0)</f>
        <v>10027.144</v>
      </c>
      <c r="C14" s="191">
        <f>IFERROR(INDEX(Table_INPUT_2D[Y],MATCH(E14,Table_INPUT_2D[Unique ID],0)),0)</f>
        <v>5058.0219999999999</v>
      </c>
      <c r="D14" s="191">
        <f>IFERROR(INDEX(Table_INPUT_2D[Z],MATCH(E14,Table_INPUT_2D[Unique ID],0)),0)</f>
        <v>201.07599999999999</v>
      </c>
      <c r="E14" s="51" t="s">
        <v>177</v>
      </c>
    </row>
    <row r="17" spans="1:52" ht="21" x14ac:dyDescent="0.35">
      <c r="A17" s="54" t="s">
        <v>355</v>
      </c>
      <c r="B17" s="57"/>
      <c r="C17" s="57"/>
      <c r="D17" s="57"/>
      <c r="E17" s="57"/>
    </row>
    <row r="18" spans="1:52" x14ac:dyDescent="0.2">
      <c r="A18" s="57"/>
      <c r="B18" s="57"/>
      <c r="C18" s="57"/>
      <c r="D18" s="57"/>
      <c r="E18" s="57"/>
    </row>
    <row r="19" spans="1:52" x14ac:dyDescent="0.2">
      <c r="A19" s="20" t="s">
        <v>356</v>
      </c>
      <c r="B19" s="57"/>
      <c r="C19" s="55"/>
      <c r="D19" s="56"/>
      <c r="E19" s="57"/>
    </row>
    <row r="20" spans="1:52" x14ac:dyDescent="0.2">
      <c r="B20" s="57"/>
      <c r="C20" s="55"/>
      <c r="D20" s="56"/>
      <c r="E20" s="57"/>
    </row>
    <row r="21" spans="1:52" ht="21" x14ac:dyDescent="0.35">
      <c r="A21" s="54" t="s">
        <v>359</v>
      </c>
      <c r="B21" s="2"/>
      <c r="C21" s="2"/>
      <c r="D21" s="2"/>
      <c r="E21" s="2"/>
      <c r="N21" s="223" t="s">
        <v>26</v>
      </c>
      <c r="O21" s="223"/>
      <c r="Q21" s="223" t="s">
        <v>27</v>
      </c>
      <c r="R21" s="223"/>
      <c r="W21" s="44" t="s">
        <v>14</v>
      </c>
      <c r="X21" s="17">
        <v>32</v>
      </c>
      <c r="Y21" s="2"/>
      <c r="Z21" s="2"/>
      <c r="AA21" s="2"/>
      <c r="AB21" s="2"/>
      <c r="AC21" s="44" t="s">
        <v>14</v>
      </c>
      <c r="AD21" s="17">
        <v>16</v>
      </c>
      <c r="AE21" s="2"/>
      <c r="AF21" s="2"/>
      <c r="AG21" s="2"/>
      <c r="AH21" s="2"/>
      <c r="AI21" s="2"/>
      <c r="AJ21" s="2"/>
      <c r="AK21" s="2"/>
      <c r="AL21" s="2"/>
      <c r="AM21" s="2"/>
    </row>
    <row r="22" spans="1:52" x14ac:dyDescent="0.2">
      <c r="A22" s="2"/>
      <c r="B22" s="2"/>
      <c r="C22" s="2"/>
      <c r="D22" s="2"/>
      <c r="E22" s="2"/>
      <c r="N22" s="44" t="s">
        <v>23</v>
      </c>
      <c r="O22" s="46" t="s">
        <v>64</v>
      </c>
      <c r="Q22" s="44" t="s">
        <v>23</v>
      </c>
      <c r="R22" s="46" t="s">
        <v>692</v>
      </c>
      <c r="W22" s="44" t="s">
        <v>15</v>
      </c>
      <c r="X22" s="153">
        <f>$Y$211-$Y$28</f>
        <v>-4.99999999945544E-4</v>
      </c>
      <c r="Y22" s="2"/>
      <c r="Z22" s="2"/>
      <c r="AA22" s="2"/>
      <c r="AB22" s="2"/>
      <c r="AC22" s="44" t="s">
        <v>15</v>
      </c>
      <c r="AD22" s="201">
        <f>$AA$179-$R$23</f>
        <v>2.0671487602896832E-2</v>
      </c>
      <c r="AE22" s="2"/>
      <c r="AF22" s="2"/>
      <c r="AG22" s="2"/>
      <c r="AH22" s="2"/>
      <c r="AI22" s="2"/>
      <c r="AJ22" s="2"/>
      <c r="AK22" s="2"/>
      <c r="AL22" s="2"/>
      <c r="AM22" s="2"/>
    </row>
    <row r="23" spans="1:52" ht="26.25" x14ac:dyDescent="0.4">
      <c r="A23" s="2"/>
      <c r="B23" s="2"/>
      <c r="C23" s="2"/>
      <c r="D23" s="2"/>
      <c r="E23" s="2"/>
      <c r="N23" s="44" t="s">
        <v>24</v>
      </c>
      <c r="O23" s="47">
        <f>K8</f>
        <v>112.034188016529</v>
      </c>
      <c r="Q23" s="44" t="s">
        <v>24</v>
      </c>
      <c r="R23" s="70">
        <f>Input!C16</f>
        <v>137.06626652892601</v>
      </c>
      <c r="T23" s="71"/>
      <c r="W23" s="44" t="s">
        <v>16</v>
      </c>
      <c r="X23" s="18">
        <f>$X$22/$X$21</f>
        <v>-1.562499999829825E-5</v>
      </c>
      <c r="Y23" s="2"/>
      <c r="Z23" s="2"/>
      <c r="AA23" s="2"/>
      <c r="AB23" s="2"/>
      <c r="AC23" s="44" t="s">
        <v>16</v>
      </c>
      <c r="AD23" s="18">
        <f>$AD$22/$AD$21</f>
        <v>1.291967975181052E-3</v>
      </c>
      <c r="AE23" s="2"/>
      <c r="AF23" s="2"/>
      <c r="AG23" s="2"/>
      <c r="AH23" s="2"/>
      <c r="AI23" s="2"/>
      <c r="AJ23" s="224" t="s">
        <v>699</v>
      </c>
      <c r="AK23" s="224"/>
      <c r="AL23" s="224"/>
      <c r="AM23" s="2"/>
    </row>
    <row r="24" spans="1:52" x14ac:dyDescent="0.2">
      <c r="A24" s="2"/>
      <c r="B24" s="2"/>
      <c r="C24" s="2"/>
      <c r="D24" s="49"/>
      <c r="E24"/>
      <c r="F24"/>
      <c r="G24"/>
      <c r="H24"/>
      <c r="M24" s="49"/>
      <c r="N24" s="18"/>
      <c r="S24" s="49"/>
      <c r="T24" s="18"/>
      <c r="V24" s="4"/>
      <c r="X24" s="2"/>
      <c r="Y24" s="2"/>
      <c r="Z24" s="2"/>
      <c r="AA24" s="14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</row>
    <row r="25" spans="1:52" ht="13.5" thickBot="1" x14ac:dyDescent="0.25">
      <c r="A25" s="59" t="s">
        <v>0</v>
      </c>
      <c r="B25" s="60" t="s">
        <v>1</v>
      </c>
      <c r="C25" s="60" t="s">
        <v>2</v>
      </c>
      <c r="D25" s="60" t="s">
        <v>3</v>
      </c>
      <c r="E25" s="60" t="s">
        <v>43</v>
      </c>
      <c r="G25" s="21" t="s">
        <v>7</v>
      </c>
      <c r="H25" s="21" t="s">
        <v>8</v>
      </c>
      <c r="I25" s="21" t="s">
        <v>9</v>
      </c>
      <c r="J25" s="21" t="s">
        <v>10</v>
      </c>
      <c r="K25" s="21" t="s">
        <v>4</v>
      </c>
      <c r="L25" s="21" t="s">
        <v>5</v>
      </c>
      <c r="M25" s="21" t="s">
        <v>6</v>
      </c>
      <c r="N25" s="21" t="s">
        <v>11</v>
      </c>
      <c r="O25" s="21">
        <f>$O$27+(-$N$26)</f>
        <v>112.034188016529</v>
      </c>
      <c r="P25" s="21" t="s">
        <v>20</v>
      </c>
      <c r="Q25" s="21" t="s">
        <v>12</v>
      </c>
      <c r="R25" s="21" t="s">
        <v>13</v>
      </c>
      <c r="W25" s="58" t="s">
        <v>7</v>
      </c>
      <c r="X25" s="58" t="s">
        <v>25</v>
      </c>
      <c r="Y25" s="58" t="s">
        <v>17</v>
      </c>
      <c r="Z25" s="58" t="s">
        <v>18</v>
      </c>
      <c r="AA25" s="58" t="s">
        <v>19</v>
      </c>
      <c r="AB25" s="58" t="s">
        <v>28</v>
      </c>
      <c r="AC25" s="58" t="s">
        <v>7</v>
      </c>
      <c r="AD25" s="58" t="s">
        <v>25</v>
      </c>
      <c r="AE25" s="58" t="s">
        <v>17</v>
      </c>
      <c r="AF25" s="58" t="s">
        <v>18</v>
      </c>
      <c r="AG25" s="58" t="s">
        <v>19</v>
      </c>
      <c r="AH25" s="58" t="s">
        <v>28</v>
      </c>
      <c r="AI25" s="58"/>
      <c r="AJ25" s="58" t="s">
        <v>7</v>
      </c>
      <c r="AK25" s="58" t="s">
        <v>29</v>
      </c>
      <c r="AL25" s="58" t="s">
        <v>28</v>
      </c>
      <c r="AM25" s="2"/>
    </row>
    <row r="26" spans="1:52" ht="13.5" thickTop="1" x14ac:dyDescent="0.2">
      <c r="A26" s="61" t="s">
        <v>22</v>
      </c>
      <c r="B26" s="62" t="str">
        <f>_xlfn.IFNA(INDEX(Table_INPUT_2D[X],MATCH(Table8[[#This Row],[UID]],Table_INPUT_2D[Unique ID],0)),"")</f>
        <v/>
      </c>
      <c r="C26" s="62" t="str">
        <f>_xlfn.IFNA(INDEX(Table_INPUT_2D[Y],MATCH(Table8[[#This Row],[UID]],Table_INPUT_2D[Unique ID],0)),"")</f>
        <v/>
      </c>
      <c r="D26" s="62" t="str">
        <f>_xlfn.IFNA(INDEX(Table_INPUT_2D[Z],MATCH(Table8[[#This Row],[UID]],Table_INPUT_2D[Unique ID],0)),"")</f>
        <v/>
      </c>
      <c r="E26" s="69"/>
      <c r="G26" s="2" t="str">
        <f>IF($A$26 &lt;&gt; "",$A$26, "")</f>
        <v>STATION</v>
      </c>
      <c r="H26" s="2" t="str">
        <f>IF($B$26 &lt;&gt; "",$B$26, "")</f>
        <v/>
      </c>
      <c r="I26" s="2" t="str">
        <f>IF($C$26 &lt;&gt; "",$C$26, "")</f>
        <v/>
      </c>
      <c r="J26" s="2" t="str">
        <f>IF($D$26 &lt;&gt; "",$D$26, "")</f>
        <v/>
      </c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 s="67" t="s">
        <v>64</v>
      </c>
      <c r="B27" s="64">
        <f>_xlfn.IFNA(INDEX(Table_INPUT_2D[X],MATCH(Table8[[#This Row],[UID]],Table_INPUT_2D[Unique ID],0)),"")</f>
        <v>9820.9500000000007</v>
      </c>
      <c r="C27" s="64">
        <f>_xlfn.IFNA(INDEX(Table_INPUT_2D[Y],MATCH(Table8[[#This Row],[UID]],Table_INPUT_2D[Unique ID],0)),"")</f>
        <v>5174.308</v>
      </c>
      <c r="D27" s="64">
        <f>_xlfn.IFNA(INDEX(Table_INPUT_2D[Z],MATCH(Table8[[#This Row],[UID]],Table_INPUT_2D[Unique ID],0)),"")</f>
        <v>193.249</v>
      </c>
      <c r="E27" s="65" t="s">
        <v>144</v>
      </c>
      <c r="G27" s="4" t="str">
        <f>IF($A$27 &lt;&gt; "",$A$27, "")</f>
        <v>MR9001</v>
      </c>
      <c r="H27" s="2">
        <f>IF($B$27 &lt;&gt; "",$B$27, "")</f>
        <v>9820.9500000000007</v>
      </c>
      <c r="I27" s="2">
        <f>IF($C$27 &lt;&gt; "",$C$27, "")</f>
        <v>5174.308</v>
      </c>
      <c r="J27" s="2">
        <f>IF($D$27 &lt;&gt; "",$D$27, "")</f>
        <v>193.249</v>
      </c>
      <c r="K27">
        <f>AVERAGE($H$27,$H$28)</f>
        <v>9820.950499999999</v>
      </c>
      <c r="L27">
        <f>AVERAGE($I$27,$I$28)</f>
        <v>5174.3085000000001</v>
      </c>
      <c r="M27">
        <f>AVERAGE($J$27,$J$28)</f>
        <v>193.24950000000001</v>
      </c>
      <c r="N27"/>
      <c r="O27" s="68">
        <f>$O$23</f>
        <v>112.034188016529</v>
      </c>
      <c r="P27"/>
      <c r="Q27"/>
      <c r="R27"/>
      <c r="S27"/>
      <c r="T27" s="56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14" t="s">
        <v>7</v>
      </c>
      <c r="AK27" s="14" t="s">
        <v>29</v>
      </c>
      <c r="AL27" s="14" t="s">
        <v>28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 s="67" t="s">
        <v>64</v>
      </c>
      <c r="B28" s="64">
        <f>_xlfn.IFNA(INDEX(Table_INPUT_2D[X],MATCH(Table8[[#This Row],[UID]],Table_INPUT_2D[Unique ID],0)),"")</f>
        <v>9820.9509999999991</v>
      </c>
      <c r="C28" s="64">
        <f>_xlfn.IFNA(INDEX(Table_INPUT_2D[Y],MATCH(Table8[[#This Row],[UID]],Table_INPUT_2D[Unique ID],0)),"")</f>
        <v>5174.3090000000002</v>
      </c>
      <c r="D28" s="64">
        <f>_xlfn.IFNA(INDEX(Table_INPUT_2D[Z],MATCH(Table8[[#This Row],[UID]],Table_INPUT_2D[Unique ID],0)),"")</f>
        <v>193.25</v>
      </c>
      <c r="E28" s="65" t="s">
        <v>145</v>
      </c>
      <c r="G28" s="2" t="str">
        <f>IF($A$28 &lt;&gt; "",$A$28, "")</f>
        <v>MR9001</v>
      </c>
      <c r="H28" s="2">
        <f>IF($B$28 &lt;&gt; "",$B$28, "")</f>
        <v>9820.9509999999991</v>
      </c>
      <c r="I28" s="2">
        <f>IF($C$28 &lt;&gt; "",$C$28, "")</f>
        <v>5174.3090000000002</v>
      </c>
      <c r="J28" s="2">
        <f>IF($D$28 &lt;&gt; "",$D$28, "")</f>
        <v>193.25</v>
      </c>
      <c r="K28"/>
      <c r="L28"/>
      <c r="M28"/>
      <c r="N28">
        <f>$M$29-$M$27</f>
        <v>-0.30150000000000432</v>
      </c>
      <c r="O28" s="56"/>
      <c r="P28">
        <f>SQRT(($K$29-$K$27)^2 +($L$29-$L$27)^2)</f>
        <v>18.693568767093591</v>
      </c>
      <c r="Q28"/>
      <c r="R28"/>
      <c r="S28"/>
      <c r="T28"/>
      <c r="U28"/>
      <c r="V28" s="156">
        <v>1</v>
      </c>
      <c r="W28" t="s">
        <v>64</v>
      </c>
      <c r="X28">
        <v>0</v>
      </c>
      <c r="Y28" s="147">
        <f>$O$27</f>
        <v>112.034188016529</v>
      </c>
      <c r="Z28" s="202">
        <f>$X$23*($X$28/$X$39)</f>
        <v>0</v>
      </c>
      <c r="AA28" s="147">
        <f>$Y$28-$Z$28</f>
        <v>112.034188016529</v>
      </c>
      <c r="AB28" s="147">
        <f>$P$28</f>
        <v>18.693568767093591</v>
      </c>
      <c r="AC28" s="124" t="s">
        <v>64</v>
      </c>
      <c r="AD28" s="124">
        <v>0</v>
      </c>
      <c r="AE28" s="147">
        <f>$AA$28</f>
        <v>112.034188016529</v>
      </c>
      <c r="AF28" s="202">
        <f>$AD$23*($AD$28/$AD$39)</f>
        <v>0</v>
      </c>
      <c r="AG28" s="147">
        <f>$AE$28-$AF$28</f>
        <v>112.034188016529</v>
      </c>
      <c r="AH28" s="147">
        <f>$AB$28</f>
        <v>18.693568767093591</v>
      </c>
      <c r="AI28"/>
      <c r="AJ28" t="s">
        <v>64</v>
      </c>
      <c r="AK28" s="147">
        <f>VLOOKUP($AJ$28,$AC$28:$AH$115,5,)</f>
        <v>112.034188016529</v>
      </c>
      <c r="AL28" s="147">
        <f t="shared" ref="AL28:AL91" si="0">IF(VLOOKUP($AJ28,$AC$28:$AH$179,6,)=0,"",VLOOKUP($AJ28,$AC$28:$AH$179,6,))</f>
        <v>18.693568767093591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 s="67" t="s">
        <v>65</v>
      </c>
      <c r="B29" s="64">
        <f>_xlfn.IFNA(INDEX(Table_INPUT_2D[X],MATCH(Table8[[#This Row],[UID]],Table_INPUT_2D[Unique ID],0)),"")</f>
        <v>9839.0910000000003</v>
      </c>
      <c r="C29" s="64">
        <f>_xlfn.IFNA(INDEX(Table_INPUT_2D[Y],MATCH(Table8[[#This Row],[UID]],Table_INPUT_2D[Unique ID],0)),"")</f>
        <v>5169.7969999999996</v>
      </c>
      <c r="D29" s="64">
        <f>_xlfn.IFNA(INDEX(Table_INPUT_2D[Z],MATCH(Table8[[#This Row],[UID]],Table_INPUT_2D[Unique ID],0)),"")</f>
        <v>192.94800000000001</v>
      </c>
      <c r="E29" s="65" t="s">
        <v>148</v>
      </c>
      <c r="G29" s="2" t="str">
        <f>IF($A$29 &lt;&gt; "",$A$29, "")</f>
        <v>MR9002</v>
      </c>
      <c r="H29" s="2">
        <f>IF($B$29 &lt;&gt; "",$B$29, "")</f>
        <v>9839.0910000000003</v>
      </c>
      <c r="I29" s="2">
        <f>IF($C$29 &lt;&gt; "",$C$29, "")</f>
        <v>5169.7969999999996</v>
      </c>
      <c r="J29" s="2">
        <f>IF($D$29 &lt;&gt; "",$D$29, "")</f>
        <v>192.94800000000001</v>
      </c>
      <c r="K29">
        <f>AVERAGE($H$29,$H$30)</f>
        <v>9839.0915000000005</v>
      </c>
      <c r="L29">
        <f>AVERAGE($I$29,$I$30)</f>
        <v>5169.7969999999996</v>
      </c>
      <c r="M29">
        <f>AVERAGE($J$29,$J$30)</f>
        <v>192.94800000000001</v>
      </c>
      <c r="N29"/>
      <c r="O29" s="56">
        <f>$O$27+($N$28)</f>
        <v>111.732688016529</v>
      </c>
      <c r="P29"/>
      <c r="Q29"/>
      <c r="R29"/>
      <c r="S29"/>
      <c r="T29"/>
      <c r="U29"/>
      <c r="V29" s="156"/>
      <c r="W29" t="s">
        <v>65</v>
      </c>
      <c r="X29">
        <v>1</v>
      </c>
      <c r="Y29" s="147">
        <f>$O$29</f>
        <v>111.732688016529</v>
      </c>
      <c r="Z29" s="202">
        <f>$X$23*($X$29/$X$39)</f>
        <v>-1.4204545452998409E-6</v>
      </c>
      <c r="AA29" s="147">
        <f>$Y$29-$Z$29</f>
        <v>111.73268943698355</v>
      </c>
      <c r="AB29" s="147">
        <f>$P$30</f>
        <v>20.456490412579775</v>
      </c>
      <c r="AC29" s="124" t="s">
        <v>65</v>
      </c>
      <c r="AD29" s="124">
        <v>1</v>
      </c>
      <c r="AE29" s="147">
        <f>$AA$29</f>
        <v>111.73268943698355</v>
      </c>
      <c r="AF29" s="202">
        <f>$AD$23*($AD$29/$AD$39)</f>
        <v>1.1745163410736836E-4</v>
      </c>
      <c r="AG29" s="147">
        <f>$AE$29-$AF$29</f>
        <v>111.73257198534944</v>
      </c>
      <c r="AH29" s="147">
        <f>$AB$29</f>
        <v>20.456490412579775</v>
      </c>
      <c r="AI29"/>
      <c r="AJ29" t="s">
        <v>65</v>
      </c>
      <c r="AK29" s="147">
        <f>VLOOKUP($AJ$29,$AC$28:$AH$115,5,)</f>
        <v>111.73257198534944</v>
      </c>
      <c r="AL29" s="147">
        <f t="shared" si="0"/>
        <v>20.456490412579775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 s="67" t="s">
        <v>65</v>
      </c>
      <c r="B30" s="64">
        <f>_xlfn.IFNA(INDEX(Table_INPUT_2D[X],MATCH(Table8[[#This Row],[UID]],Table_INPUT_2D[Unique ID],0)),"")</f>
        <v>9839.0920000000006</v>
      </c>
      <c r="C30" s="64">
        <f>_xlfn.IFNA(INDEX(Table_INPUT_2D[Y],MATCH(Table8[[#This Row],[UID]],Table_INPUT_2D[Unique ID],0)),"")</f>
        <v>5169.7969999999996</v>
      </c>
      <c r="D30" s="64">
        <f>_xlfn.IFNA(INDEX(Table_INPUT_2D[Z],MATCH(Table8[[#This Row],[UID]],Table_INPUT_2D[Unique ID],0)),"")</f>
        <v>192.94800000000001</v>
      </c>
      <c r="E30" s="65" t="s">
        <v>149</v>
      </c>
      <c r="G30" s="2" t="str">
        <f>IF($A$30 &lt;&gt; "",$A$30, "")</f>
        <v>MR9002</v>
      </c>
      <c r="H30" s="2">
        <f>IF($B$30 &lt;&gt; "",$B$30, "")</f>
        <v>9839.0920000000006</v>
      </c>
      <c r="I30" s="2">
        <f>IF($C$30 &lt;&gt; "",$C$30, "")</f>
        <v>5169.7969999999996</v>
      </c>
      <c r="J30" s="2">
        <f>IF($D$30 &lt;&gt; "",$D$30, "")</f>
        <v>192.94800000000001</v>
      </c>
      <c r="K30"/>
      <c r="L30"/>
      <c r="M30"/>
      <c r="N30">
        <f>$M$31-$M$29</f>
        <v>0.64499999999998181</v>
      </c>
      <c r="O30" s="56"/>
      <c r="P30">
        <f>SQRT(($K$31-$K$29)^2 +($L$31-$L$29)^2)</f>
        <v>20.456490412579775</v>
      </c>
      <c r="Q30"/>
      <c r="R30"/>
      <c r="S30"/>
      <c r="T30"/>
      <c r="U30"/>
      <c r="V30" s="156"/>
      <c r="W30" t="s">
        <v>66</v>
      </c>
      <c r="X30">
        <v>2</v>
      </c>
      <c r="Y30" s="147">
        <f>$O$31</f>
        <v>112.37768801652898</v>
      </c>
      <c r="Z30" s="202">
        <f>$X$23*($X$30/$X$39)</f>
        <v>-2.8409090905996819E-6</v>
      </c>
      <c r="AA30" s="147">
        <f>$Y$30-$Z$30</f>
        <v>112.37769085743807</v>
      </c>
      <c r="AB30" s="147">
        <f>$P$32</f>
        <v>19.922968183731527</v>
      </c>
      <c r="AC30" s="124" t="s">
        <v>66</v>
      </c>
      <c r="AD30" s="124">
        <v>2</v>
      </c>
      <c r="AE30" s="147">
        <f>$AA$30</f>
        <v>112.37769085743807</v>
      </c>
      <c r="AF30" s="202">
        <f>$AD$23*($AD$30/$AD$39)</f>
        <v>2.3490326821473673E-4</v>
      </c>
      <c r="AG30" s="147">
        <f>$AE$30-$AF$30</f>
        <v>112.37745595416985</v>
      </c>
      <c r="AH30" s="147">
        <f>$AB$30</f>
        <v>19.922968183731527</v>
      </c>
      <c r="AI30"/>
      <c r="AJ30" t="s">
        <v>66</v>
      </c>
      <c r="AK30" s="147">
        <f>VLOOKUP($AJ$30,$AC$28:$AH$115,5,)</f>
        <v>112.37745595416985</v>
      </c>
      <c r="AL30" s="147">
        <f t="shared" si="0"/>
        <v>19.922968183731527</v>
      </c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 s="67" t="s">
        <v>66</v>
      </c>
      <c r="B31" s="64">
        <f>_xlfn.IFNA(INDEX(Table_INPUT_2D[X],MATCH(Table8[[#This Row],[UID]],Table_INPUT_2D[Unique ID],0)),"")</f>
        <v>9858.232</v>
      </c>
      <c r="C31" s="64">
        <f>_xlfn.IFNA(INDEX(Table_INPUT_2D[Y],MATCH(Table8[[#This Row],[UID]],Table_INPUT_2D[Unique ID],0)),"")</f>
        <v>5162.5770000000002</v>
      </c>
      <c r="D31" s="64">
        <f>_xlfn.IFNA(INDEX(Table_INPUT_2D[Z],MATCH(Table8[[#This Row],[UID]],Table_INPUT_2D[Unique ID],0)),"")</f>
        <v>193.59299999999999</v>
      </c>
      <c r="E31" s="65" t="s">
        <v>150</v>
      </c>
      <c r="G31" s="2" t="str">
        <f>IF($A$31 &lt;&gt; "",$A$31, "")</f>
        <v>MR9003</v>
      </c>
      <c r="H31" s="2">
        <f>IF($B$31 &lt;&gt; "",$B$31, "")</f>
        <v>9858.232</v>
      </c>
      <c r="I31" s="2">
        <f>IF($C$31 &lt;&gt; "",$C$31, "")</f>
        <v>5162.5770000000002</v>
      </c>
      <c r="J31" s="2">
        <f>IF($D$31 &lt;&gt; "",$D$31, "")</f>
        <v>193.59299999999999</v>
      </c>
      <c r="K31">
        <f>AVERAGE($H$31,$H$32)</f>
        <v>9858.2314999999999</v>
      </c>
      <c r="L31">
        <f>AVERAGE($I$31,$I$32)</f>
        <v>5162.5770000000002</v>
      </c>
      <c r="M31">
        <f>AVERAGE($J$31,$J$32)</f>
        <v>193.59299999999999</v>
      </c>
      <c r="N31"/>
      <c r="O31" s="56">
        <f>$O$29+($N$30)</f>
        <v>112.37768801652898</v>
      </c>
      <c r="P31"/>
      <c r="Q31"/>
      <c r="R31"/>
      <c r="S31"/>
      <c r="T31"/>
      <c r="U31"/>
      <c r="V31" s="156"/>
      <c r="W31" t="s">
        <v>67</v>
      </c>
      <c r="X31">
        <v>3</v>
      </c>
      <c r="Y31" s="147">
        <f>$O$33</f>
        <v>114.06868801652898</v>
      </c>
      <c r="Z31" s="202">
        <f>$X$23*($X$31/$X$39)</f>
        <v>-4.2613636358995226E-6</v>
      </c>
      <c r="AA31" s="147">
        <f>$Y$31-$Z$31</f>
        <v>114.06869227789262</v>
      </c>
      <c r="AB31" s="147">
        <f>$P$34</f>
        <v>18.168647638170981</v>
      </c>
      <c r="AC31" s="124" t="s">
        <v>67</v>
      </c>
      <c r="AD31" s="124">
        <v>3</v>
      </c>
      <c r="AE31" s="147">
        <f>$AA$31</f>
        <v>114.06869227789262</v>
      </c>
      <c r="AF31" s="202">
        <f>$AD$23*($AD$31/$AD$39)</f>
        <v>3.5235490232210509E-4</v>
      </c>
      <c r="AG31" s="147">
        <f>$AE$31-$AF$31</f>
        <v>114.0683399229903</v>
      </c>
      <c r="AH31" s="147">
        <f>$AB$31</f>
        <v>18.168647638170981</v>
      </c>
      <c r="AI31"/>
      <c r="AJ31" t="s">
        <v>67</v>
      </c>
      <c r="AK31" s="147">
        <f>VLOOKUP($AJ$31,$AC$28:$AH$115,5,)</f>
        <v>114.0683399229903</v>
      </c>
      <c r="AL31" s="147">
        <f t="shared" si="0"/>
        <v>18.168647638170981</v>
      </c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 s="67" t="s">
        <v>66</v>
      </c>
      <c r="B32" s="64">
        <f>_xlfn.IFNA(INDEX(Table_INPUT_2D[X],MATCH(Table8[[#This Row],[UID]],Table_INPUT_2D[Unique ID],0)),"")</f>
        <v>9858.2309999999998</v>
      </c>
      <c r="C32" s="64">
        <f>_xlfn.IFNA(INDEX(Table_INPUT_2D[Y],MATCH(Table8[[#This Row],[UID]],Table_INPUT_2D[Unique ID],0)),"")</f>
        <v>5162.5770000000002</v>
      </c>
      <c r="D32" s="64">
        <f>_xlfn.IFNA(INDEX(Table_INPUT_2D[Z],MATCH(Table8[[#This Row],[UID]],Table_INPUT_2D[Unique ID],0)),"")</f>
        <v>193.59299999999999</v>
      </c>
      <c r="E32" s="65" t="s">
        <v>151</v>
      </c>
      <c r="G32" s="2" t="str">
        <f>IF($A$32 &lt;&gt; "",$A$32, "")</f>
        <v>MR9003</v>
      </c>
      <c r="H32" s="2">
        <f>IF($B$32 &lt;&gt; "",$B$32, "")</f>
        <v>9858.2309999999998</v>
      </c>
      <c r="I32" s="2">
        <f>IF($C$32 &lt;&gt; "",$C$32, "")</f>
        <v>5162.5770000000002</v>
      </c>
      <c r="J32" s="2">
        <f>IF($D$32 &lt;&gt; "",$D$32, "")</f>
        <v>193.59299999999999</v>
      </c>
      <c r="K32"/>
      <c r="L32"/>
      <c r="M32"/>
      <c r="N32">
        <f>$M$33-$M$31</f>
        <v>1.6910000000000025</v>
      </c>
      <c r="O32" s="56"/>
      <c r="P32">
        <f>SQRT(($K$33-$K$31)^2 +($L$33-$L$31)^2)</f>
        <v>19.922968183731527</v>
      </c>
      <c r="Q32"/>
      <c r="R32"/>
      <c r="S32"/>
      <c r="T32"/>
      <c r="U32"/>
      <c r="V32" s="156"/>
      <c r="W32" t="s">
        <v>68</v>
      </c>
      <c r="X32">
        <v>4</v>
      </c>
      <c r="Y32" s="147">
        <f>$O$35</f>
        <v>115.16568801652899</v>
      </c>
      <c r="Z32" s="202">
        <f>$X$23*($X$32/$X$39)</f>
        <v>-5.6818181811993638E-6</v>
      </c>
      <c r="AA32" s="147">
        <f>$Y$32-$Z$32</f>
        <v>115.16569369834717</v>
      </c>
      <c r="AB32" s="147">
        <f>$P$36</f>
        <v>20.055195860425066</v>
      </c>
      <c r="AC32" s="124" t="s">
        <v>68</v>
      </c>
      <c r="AD32" s="124">
        <v>4</v>
      </c>
      <c r="AE32" s="147">
        <f>$AA$32</f>
        <v>115.16569369834717</v>
      </c>
      <c r="AF32" s="202">
        <f>$AD$23*($AD$32/$AD$39)</f>
        <v>4.6980653642947345E-4</v>
      </c>
      <c r="AG32" s="147">
        <f>$AE$32-$AF$32</f>
        <v>115.16522389181074</v>
      </c>
      <c r="AH32" s="147">
        <f>$AB$32</f>
        <v>20.055195860425066</v>
      </c>
      <c r="AI32"/>
      <c r="AJ32" t="s">
        <v>68</v>
      </c>
      <c r="AK32" s="147">
        <f>VLOOKUP($AJ$32,$AC$28:$AH$115,5,)</f>
        <v>115.16522389181074</v>
      </c>
      <c r="AL32" s="147">
        <f t="shared" si="0"/>
        <v>20.055195860425066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 s="67" t="s">
        <v>67</v>
      </c>
      <c r="B33" s="64">
        <f>_xlfn.IFNA(INDEX(Table_INPUT_2D[X],MATCH(Table8[[#This Row],[UID]],Table_INPUT_2D[Unique ID],0)),"")</f>
        <v>9876.5949999999993</v>
      </c>
      <c r="C33" s="64">
        <f>_xlfn.IFNA(INDEX(Table_INPUT_2D[Y],MATCH(Table8[[#This Row],[UID]],Table_INPUT_2D[Unique ID],0)),"")</f>
        <v>5154.8500000000004</v>
      </c>
      <c r="D33" s="64">
        <f>_xlfn.IFNA(INDEX(Table_INPUT_2D[Z],MATCH(Table8[[#This Row],[UID]],Table_INPUT_2D[Unique ID],0)),"")</f>
        <v>195.28399999999999</v>
      </c>
      <c r="E33" s="65" t="s">
        <v>152</v>
      </c>
      <c r="G33" s="2" t="str">
        <f>IF($A$33 &lt;&gt; "",$A$33, "")</f>
        <v>MR9004</v>
      </c>
      <c r="H33" s="2">
        <f>IF($B$33 &lt;&gt; "",$B$33, "")</f>
        <v>9876.5949999999993</v>
      </c>
      <c r="I33" s="2">
        <f>IF($C$33 &lt;&gt; "",$C$33, "")</f>
        <v>5154.8500000000004</v>
      </c>
      <c r="J33" s="2">
        <f>IF($D$33 &lt;&gt; "",$D$33, "")</f>
        <v>195.28399999999999</v>
      </c>
      <c r="K33">
        <f>AVERAGE($H$33,$H$34)</f>
        <v>9876.5949999999993</v>
      </c>
      <c r="L33">
        <f>AVERAGE($I$33,$I$34)</f>
        <v>5154.8500000000004</v>
      </c>
      <c r="M33">
        <f>AVERAGE($J$33,$J$34)</f>
        <v>195.28399999999999</v>
      </c>
      <c r="N33"/>
      <c r="O33" s="56">
        <f>$O$31+($N$32)</f>
        <v>114.06868801652898</v>
      </c>
      <c r="P33"/>
      <c r="Q33"/>
      <c r="R33"/>
      <c r="S33"/>
      <c r="T33"/>
      <c r="U33"/>
      <c r="V33" s="156"/>
      <c r="W33" t="s">
        <v>69</v>
      </c>
      <c r="X33">
        <v>5</v>
      </c>
      <c r="Y33" s="147">
        <f>$O$37</f>
        <v>116.255188016529</v>
      </c>
      <c r="Z33" s="202">
        <f>$X$23*($X$33/$X$39)</f>
        <v>-7.1022727264992041E-6</v>
      </c>
      <c r="AA33" s="147">
        <f>$Y$33-$Z$33</f>
        <v>116.25519511880174</v>
      </c>
      <c r="AB33" s="147">
        <f>$P$38</f>
        <v>20.305132663934927</v>
      </c>
      <c r="AC33" s="124" t="s">
        <v>69</v>
      </c>
      <c r="AD33" s="124">
        <v>5</v>
      </c>
      <c r="AE33" s="147">
        <f>$AA$33</f>
        <v>116.25519511880174</v>
      </c>
      <c r="AF33" s="202">
        <f>$AD$23*($AD$33/$AD$39)</f>
        <v>5.8725817053684182E-4</v>
      </c>
      <c r="AG33" s="147">
        <f>$AE$33-$AF$33</f>
        <v>116.2546078606312</v>
      </c>
      <c r="AH33" s="147">
        <f>$AB$33</f>
        <v>20.305132663934927</v>
      </c>
      <c r="AI33"/>
      <c r="AJ33" t="s">
        <v>69</v>
      </c>
      <c r="AK33" s="147">
        <f>VLOOKUP($AJ$33,$AC$28:$AH$115,5,)</f>
        <v>116.2546078606312</v>
      </c>
      <c r="AL33" s="147">
        <f t="shared" si="0"/>
        <v>20.305132663934927</v>
      </c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 s="67" t="s">
        <v>67</v>
      </c>
      <c r="B34" s="64">
        <f>_xlfn.IFNA(INDEX(Table_INPUT_2D[X],MATCH(Table8[[#This Row],[UID]],Table_INPUT_2D[Unique ID],0)),"")</f>
        <v>9876.5949999999993</v>
      </c>
      <c r="C34" s="64">
        <f>_xlfn.IFNA(INDEX(Table_INPUT_2D[Y],MATCH(Table8[[#This Row],[UID]],Table_INPUT_2D[Unique ID],0)),"")</f>
        <v>5154.8500000000004</v>
      </c>
      <c r="D34" s="64">
        <f>_xlfn.IFNA(INDEX(Table_INPUT_2D[Z],MATCH(Table8[[#This Row],[UID]],Table_INPUT_2D[Unique ID],0)),"")</f>
        <v>195.28399999999999</v>
      </c>
      <c r="E34" s="65" t="s">
        <v>153</v>
      </c>
      <c r="G34" s="2" t="str">
        <f>IF($A$34 &lt;&gt; "",$A$34, "")</f>
        <v>MR9004</v>
      </c>
      <c r="H34" s="2">
        <f>IF($B$34 &lt;&gt; "",$B$34, "")</f>
        <v>9876.5949999999993</v>
      </c>
      <c r="I34" s="2">
        <f>IF($C$34 &lt;&gt; "",$C$34, "")</f>
        <v>5154.8500000000004</v>
      </c>
      <c r="J34" s="2">
        <f>IF($D$34 &lt;&gt; "",$D$34, "")</f>
        <v>195.28399999999999</v>
      </c>
      <c r="K34"/>
      <c r="L34"/>
      <c r="M34"/>
      <c r="N34">
        <f>$M$35-$M$33</f>
        <v>1.0970000000000084</v>
      </c>
      <c r="O34" s="56"/>
      <c r="P34">
        <f>SQRT(($K$35-$K$33)^2 +($L$35-$L$33)^2)</f>
        <v>18.168647638170981</v>
      </c>
      <c r="Q34"/>
      <c r="R34"/>
      <c r="S34"/>
      <c r="T34"/>
      <c r="U34"/>
      <c r="V34" s="156"/>
      <c r="W34" t="s">
        <v>70</v>
      </c>
      <c r="X34">
        <v>6</v>
      </c>
      <c r="Y34" s="147">
        <f>$O$39</f>
        <v>117.70668801652899</v>
      </c>
      <c r="Z34" s="202">
        <f>$X$23*($X$34/$X$39)</f>
        <v>-8.5227272717990452E-6</v>
      </c>
      <c r="AA34" s="147">
        <f>$Y$34-$Z$34</f>
        <v>117.70669653925626</v>
      </c>
      <c r="AB34" s="147">
        <f>$P$40</f>
        <v>21.144074926560126</v>
      </c>
      <c r="AC34" s="124" t="s">
        <v>70</v>
      </c>
      <c r="AD34" s="124">
        <v>6</v>
      </c>
      <c r="AE34" s="147">
        <f>$AA$34</f>
        <v>117.70669653925626</v>
      </c>
      <c r="AF34" s="202">
        <f>$AD$23*($AD$34/$AD$39)</f>
        <v>7.0470980464421018E-4</v>
      </c>
      <c r="AG34" s="147">
        <f>$AE$34-$AF$34</f>
        <v>117.70599182945162</v>
      </c>
      <c r="AH34" s="147">
        <f>$AB$34</f>
        <v>21.144074926560126</v>
      </c>
      <c r="AI34"/>
      <c r="AJ34" t="s">
        <v>70</v>
      </c>
      <c r="AK34" s="147">
        <f>VLOOKUP($AJ$34,$AC$28:$AH$115,5,)</f>
        <v>117.70599182945162</v>
      </c>
      <c r="AL34" s="147">
        <f t="shared" si="0"/>
        <v>21.144074926560126</v>
      </c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 s="67" t="s">
        <v>68</v>
      </c>
      <c r="B35" s="64">
        <f>_xlfn.IFNA(INDEX(Table_INPUT_2D[X],MATCH(Table8[[#This Row],[UID]],Table_INPUT_2D[Unique ID],0)),"")</f>
        <v>9892.6239999999998</v>
      </c>
      <c r="C35" s="64">
        <f>_xlfn.IFNA(INDEX(Table_INPUT_2D[Y],MATCH(Table8[[#This Row],[UID]],Table_INPUT_2D[Unique ID],0)),"")</f>
        <v>5146.2960000000003</v>
      </c>
      <c r="D35" s="64">
        <f>_xlfn.IFNA(INDEX(Table_INPUT_2D[Z],MATCH(Table8[[#This Row],[UID]],Table_INPUT_2D[Unique ID],0)),"")</f>
        <v>196.38200000000001</v>
      </c>
      <c r="E35" s="65" t="s">
        <v>154</v>
      </c>
      <c r="G35" s="2" t="str">
        <f>IF($A$35 &lt;&gt; "",$A$35, "")</f>
        <v>MR9005</v>
      </c>
      <c r="H35" s="2">
        <f>IF($B$35 &lt;&gt; "",$B$35, "")</f>
        <v>9892.6239999999998</v>
      </c>
      <c r="I35" s="2">
        <f>IF($C$35 &lt;&gt; "",$C$35, "")</f>
        <v>5146.2960000000003</v>
      </c>
      <c r="J35" s="2">
        <f>IF($D$35 &lt;&gt; "",$D$35, "")</f>
        <v>196.38200000000001</v>
      </c>
      <c r="K35">
        <f>AVERAGE($H$35,$H$36)</f>
        <v>9892.6239999999998</v>
      </c>
      <c r="L35">
        <f>AVERAGE($I$35,$I$36)</f>
        <v>5146.2960000000003</v>
      </c>
      <c r="M35">
        <f>AVERAGE($J$35,$J$36)</f>
        <v>196.381</v>
      </c>
      <c r="N35"/>
      <c r="O35" s="56">
        <f>$O$33+($N$34)</f>
        <v>115.16568801652899</v>
      </c>
      <c r="P35"/>
      <c r="Q35"/>
      <c r="R35"/>
      <c r="S35"/>
      <c r="T35"/>
      <c r="U35"/>
      <c r="V35" s="156"/>
      <c r="W35" t="s">
        <v>71</v>
      </c>
      <c r="X35">
        <v>7</v>
      </c>
      <c r="Y35" s="147">
        <f>$O$41</f>
        <v>118.789188016529</v>
      </c>
      <c r="Z35" s="202">
        <f>$X$23*($X$35/$X$39)</f>
        <v>-9.9431818170988855E-6</v>
      </c>
      <c r="AA35" s="147">
        <f>$Y$35-$Z$35</f>
        <v>118.78919795971082</v>
      </c>
      <c r="AB35" s="147">
        <f>$P$42</f>
        <v>19.920606541970479</v>
      </c>
      <c r="AC35" s="124" t="s">
        <v>71</v>
      </c>
      <c r="AD35" s="124">
        <v>7</v>
      </c>
      <c r="AE35" s="147">
        <f>$AA$35</f>
        <v>118.78919795971082</v>
      </c>
      <c r="AF35" s="202">
        <f>$AD$23*($AD$35/$AD$39)</f>
        <v>8.2216143875157854E-4</v>
      </c>
      <c r="AG35" s="147">
        <f>$AE$35-$AF$35</f>
        <v>118.78837579827207</v>
      </c>
      <c r="AH35" s="147">
        <f>$AB$35</f>
        <v>19.920606541970479</v>
      </c>
      <c r="AI35"/>
      <c r="AJ35" t="s">
        <v>71</v>
      </c>
      <c r="AK35" s="147">
        <f>VLOOKUP($AJ$35,$AC$28:$AH$115,5,)</f>
        <v>118.78837579827207</v>
      </c>
      <c r="AL35" s="147">
        <f t="shared" si="0"/>
        <v>19.920606541970479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 s="67" t="s">
        <v>68</v>
      </c>
      <c r="B36" s="64">
        <f>_xlfn.IFNA(INDEX(Table_INPUT_2D[X],MATCH(Table8[[#This Row],[UID]],Table_INPUT_2D[Unique ID],0)),"")</f>
        <v>9892.6239999999998</v>
      </c>
      <c r="C36" s="64">
        <f>_xlfn.IFNA(INDEX(Table_INPUT_2D[Y],MATCH(Table8[[#This Row],[UID]],Table_INPUT_2D[Unique ID],0)),"")</f>
        <v>5146.2960000000003</v>
      </c>
      <c r="D36" s="64">
        <f>_xlfn.IFNA(INDEX(Table_INPUT_2D[Z],MATCH(Table8[[#This Row],[UID]],Table_INPUT_2D[Unique ID],0)),"")</f>
        <v>196.38</v>
      </c>
      <c r="E36" s="65" t="s">
        <v>155</v>
      </c>
      <c r="G36" s="2" t="str">
        <f>IF($A$36 &lt;&gt; "",$A$36, "")</f>
        <v>MR9005</v>
      </c>
      <c r="H36" s="2">
        <f>IF($B$36 &lt;&gt; "",$B$36, "")</f>
        <v>9892.6239999999998</v>
      </c>
      <c r="I36" s="2">
        <f>IF($C$36 &lt;&gt; "",$C$36, "")</f>
        <v>5146.2960000000003</v>
      </c>
      <c r="J36" s="2">
        <f>IF($D$36 &lt;&gt; "",$D$36, "")</f>
        <v>196.38</v>
      </c>
      <c r="K36"/>
      <c r="L36"/>
      <c r="M36"/>
      <c r="N36">
        <f>$M$37-$M$35</f>
        <v>1.0895000000000152</v>
      </c>
      <c r="O36" s="56"/>
      <c r="P36">
        <f>SQRT(($K$37-$K$35)^2 +($L$37-$L$35)^2)</f>
        <v>20.055195860425066</v>
      </c>
      <c r="Q36"/>
      <c r="R36"/>
      <c r="S36"/>
      <c r="T36"/>
      <c r="U36"/>
      <c r="V36" s="156"/>
      <c r="W36" t="s">
        <v>72</v>
      </c>
      <c r="X36">
        <v>8</v>
      </c>
      <c r="Y36" s="147">
        <f>$O$43</f>
        <v>118.96768801652898</v>
      </c>
      <c r="Z36" s="202">
        <f>$X$23*($X$36/$X$39)</f>
        <v>-1.1363636362398728E-5</v>
      </c>
      <c r="AA36" s="147">
        <f>$Y$36-$Z$36</f>
        <v>118.96769938016534</v>
      </c>
      <c r="AB36" s="147">
        <f>$P$44</f>
        <v>19.637285154777341</v>
      </c>
      <c r="AC36" s="124" t="s">
        <v>72</v>
      </c>
      <c r="AD36" s="124">
        <v>8</v>
      </c>
      <c r="AE36" s="147">
        <f>$AA$36</f>
        <v>118.96769938016534</v>
      </c>
      <c r="AF36" s="202">
        <f>$AD$23*($AD$36/$AD$39)</f>
        <v>9.3961307285894691E-4</v>
      </c>
      <c r="AG36" s="147">
        <f>$AE$36-$AF$36</f>
        <v>118.96675976709248</v>
      </c>
      <c r="AH36" s="147">
        <f>$AB$36</f>
        <v>19.637285154777341</v>
      </c>
      <c r="AI36"/>
      <c r="AJ36" t="s">
        <v>72</v>
      </c>
      <c r="AK36" s="147">
        <f>VLOOKUP($AJ$36,$AC$28:$AH$115,5,)</f>
        <v>118.96675976709248</v>
      </c>
      <c r="AL36" s="147">
        <f t="shared" si="0"/>
        <v>19.637285154777341</v>
      </c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 s="67" t="s">
        <v>69</v>
      </c>
      <c r="B37" s="64">
        <f>_xlfn.IFNA(INDEX(Table_INPUT_2D[X],MATCH(Table8[[#This Row],[UID]],Table_INPUT_2D[Unique ID],0)),"")</f>
        <v>9909.9989999999998</v>
      </c>
      <c r="C37" s="64">
        <f>_xlfn.IFNA(INDEX(Table_INPUT_2D[Y],MATCH(Table8[[#This Row],[UID]],Table_INPUT_2D[Unique ID],0)),"")</f>
        <v>5136.28</v>
      </c>
      <c r="D37" s="64">
        <f>_xlfn.IFNA(INDEX(Table_INPUT_2D[Z],MATCH(Table8[[#This Row],[UID]],Table_INPUT_2D[Unique ID],0)),"")</f>
        <v>197.47</v>
      </c>
      <c r="E37" s="65" t="s">
        <v>156</v>
      </c>
      <c r="G37" s="2" t="str">
        <f>IF($A$37 &lt;&gt; "",$A$37, "")</f>
        <v>MR9006</v>
      </c>
      <c r="H37" s="2">
        <f>IF($B$37 &lt;&gt; "",$B$37, "")</f>
        <v>9909.9989999999998</v>
      </c>
      <c r="I37" s="2">
        <f>IF($C$37 &lt;&gt; "",$C$37, "")</f>
        <v>5136.28</v>
      </c>
      <c r="J37" s="2">
        <f>IF($D$37 &lt;&gt; "",$D$37, "")</f>
        <v>197.47</v>
      </c>
      <c r="K37">
        <f>AVERAGE($H$37,$H$38)</f>
        <v>9909.9989999999998</v>
      </c>
      <c r="L37">
        <f>AVERAGE($I$37,$I$38)</f>
        <v>5136.28</v>
      </c>
      <c r="M37">
        <f>AVERAGE($J$37,$J$38)</f>
        <v>197.47050000000002</v>
      </c>
      <c r="N37"/>
      <c r="O37" s="56">
        <f>$O$35+($N$36)</f>
        <v>116.255188016529</v>
      </c>
      <c r="P37"/>
      <c r="Q37"/>
      <c r="R37"/>
      <c r="S37"/>
      <c r="T37"/>
      <c r="U37"/>
      <c r="V37" s="156"/>
      <c r="W37" t="s">
        <v>73</v>
      </c>
      <c r="X37">
        <v>9</v>
      </c>
      <c r="Y37" s="147">
        <f>$O$45</f>
        <v>119.22718801652898</v>
      </c>
      <c r="Z37" s="202">
        <f>$X$23*($X$37/$X$39)</f>
        <v>-1.278409090769857E-5</v>
      </c>
      <c r="AA37" s="147">
        <f>$Y$37-$Z$37</f>
        <v>119.2272008006199</v>
      </c>
      <c r="AB37" s="147">
        <f>$P$46</f>
        <v>20.504782125153046</v>
      </c>
      <c r="AC37" s="124" t="s">
        <v>73</v>
      </c>
      <c r="AD37" s="124">
        <v>9</v>
      </c>
      <c r="AE37" s="147">
        <f>$AA$37</f>
        <v>119.2272008006199</v>
      </c>
      <c r="AF37" s="202">
        <f>$AD$23*($AD$37/$AD$39)</f>
        <v>1.0570647069663153E-3</v>
      </c>
      <c r="AG37" s="147">
        <f>$AE$37-$AF$37</f>
        <v>119.22614373591293</v>
      </c>
      <c r="AH37" s="147">
        <f>$AB$37</f>
        <v>20.504782125153046</v>
      </c>
      <c r="AI37"/>
      <c r="AJ37" t="s">
        <v>73</v>
      </c>
      <c r="AK37" s="147">
        <f>VLOOKUP($AJ$37,$AC$28:$AH$115,5,)</f>
        <v>119.22614373591293</v>
      </c>
      <c r="AL37" s="147">
        <f t="shared" si="0"/>
        <v>20.504782125153046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 s="67" t="s">
        <v>69</v>
      </c>
      <c r="B38" s="64">
        <f>_xlfn.IFNA(INDEX(Table_INPUT_2D[X],MATCH(Table8[[#This Row],[UID]],Table_INPUT_2D[Unique ID],0)),"")</f>
        <v>9909.9989999999998</v>
      </c>
      <c r="C38" s="64">
        <f>_xlfn.IFNA(INDEX(Table_INPUT_2D[Y],MATCH(Table8[[#This Row],[UID]],Table_INPUT_2D[Unique ID],0)),"")</f>
        <v>5136.28</v>
      </c>
      <c r="D38" s="64">
        <f>_xlfn.IFNA(INDEX(Table_INPUT_2D[Z],MATCH(Table8[[#This Row],[UID]],Table_INPUT_2D[Unique ID],0)),"")</f>
        <v>197.471</v>
      </c>
      <c r="E38" s="65" t="s">
        <v>157</v>
      </c>
      <c r="G38" s="2" t="str">
        <f>IF($A$38 &lt;&gt; "",$A$38, "")</f>
        <v>MR9006</v>
      </c>
      <c r="H38" s="2">
        <f>IF($B$38 &lt;&gt; "",$B$38, "")</f>
        <v>9909.9989999999998</v>
      </c>
      <c r="I38" s="2">
        <f>IF($C$38 &lt;&gt; "",$C$38, "")</f>
        <v>5136.28</v>
      </c>
      <c r="J38" s="2">
        <f>IF($D$38 &lt;&gt; "",$D$38, "")</f>
        <v>197.471</v>
      </c>
      <c r="K38"/>
      <c r="L38"/>
      <c r="M38"/>
      <c r="N38">
        <f>$M$39-$M$37</f>
        <v>1.4514999999999816</v>
      </c>
      <c r="O38" s="56"/>
      <c r="P38">
        <f>SQRT(($K$39-$K$37)^2 +($L$39-$L$37)^2)</f>
        <v>20.305132663934927</v>
      </c>
      <c r="Q38"/>
      <c r="R38"/>
      <c r="S38"/>
      <c r="T38"/>
      <c r="U38"/>
      <c r="V38" s="156"/>
      <c r="W38" t="s">
        <v>74</v>
      </c>
      <c r="X38">
        <v>10</v>
      </c>
      <c r="Y38" s="147">
        <f>$O$47</f>
        <v>119.35968801652898</v>
      </c>
      <c r="Z38" s="202">
        <f>$X$23*($X$38/$X$39)</f>
        <v>-1.4204545452998408E-5</v>
      </c>
      <c r="AA38" s="147">
        <f>$Y$38-$Z$38</f>
        <v>119.35970222107443</v>
      </c>
      <c r="AB38" s="147">
        <f>$P$48</f>
        <v>20.6876791895561</v>
      </c>
      <c r="AC38" s="124" t="s">
        <v>74</v>
      </c>
      <c r="AD38" s="124">
        <v>10</v>
      </c>
      <c r="AE38" s="147">
        <f>$AA$38</f>
        <v>119.35970222107443</v>
      </c>
      <c r="AF38" s="202">
        <f>$AD$23*($AD$38/$AD$39)</f>
        <v>1.1745163410736836E-3</v>
      </c>
      <c r="AG38" s="147">
        <f>$AE$38-$AF$38</f>
        <v>119.35852770473335</v>
      </c>
      <c r="AH38" s="147">
        <f>$AB$38</f>
        <v>20.6876791895561</v>
      </c>
      <c r="AI38"/>
      <c r="AJ38" t="s">
        <v>74</v>
      </c>
      <c r="AK38" s="147">
        <f>VLOOKUP($AJ$38,$AC$28:$AH$115,5,)</f>
        <v>119.35852770473335</v>
      </c>
      <c r="AL38" s="147">
        <f t="shared" si="0"/>
        <v>20.6876791895561</v>
      </c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 s="67" t="s">
        <v>70</v>
      </c>
      <c r="B39" s="64">
        <f>_xlfn.IFNA(INDEX(Table_INPUT_2D[X],MATCH(Table8[[#This Row],[UID]],Table_INPUT_2D[Unique ID],0)),"")</f>
        <v>9927.6859999999997</v>
      </c>
      <c r="C39" s="64">
        <f>_xlfn.IFNA(INDEX(Table_INPUT_2D[Y],MATCH(Table8[[#This Row],[UID]],Table_INPUT_2D[Unique ID],0)),"")</f>
        <v>5126.3069999999998</v>
      </c>
      <c r="D39" s="64">
        <f>_xlfn.IFNA(INDEX(Table_INPUT_2D[Z],MATCH(Table8[[#This Row],[UID]],Table_INPUT_2D[Unique ID],0)),"")</f>
        <v>198.922</v>
      </c>
      <c r="E39" s="65" t="s">
        <v>158</v>
      </c>
      <c r="G39" s="2" t="str">
        <f>IF($A$39 &lt;&gt; "",$A$39, "")</f>
        <v>MR9007</v>
      </c>
      <c r="H39" s="2">
        <f>IF($B$39 &lt;&gt; "",$B$39, "")</f>
        <v>9927.6859999999997</v>
      </c>
      <c r="I39" s="2">
        <f>IF($C$39 &lt;&gt; "",$C$39, "")</f>
        <v>5126.3069999999998</v>
      </c>
      <c r="J39" s="2">
        <f>IF($D$39 &lt;&gt; "",$D$39, "")</f>
        <v>198.922</v>
      </c>
      <c r="K39">
        <f>AVERAGE($H$39,$H$40)</f>
        <v>9927.6864999999998</v>
      </c>
      <c r="L39">
        <f>AVERAGE($I$39,$I$40)</f>
        <v>5126.3074999999999</v>
      </c>
      <c r="M39">
        <f>AVERAGE($J$39,$J$40)</f>
        <v>198.922</v>
      </c>
      <c r="N39"/>
      <c r="O39" s="56">
        <f>$O$37+($N$38)</f>
        <v>117.70668801652899</v>
      </c>
      <c r="P39"/>
      <c r="Q39"/>
      <c r="R39"/>
      <c r="S39"/>
      <c r="T39"/>
      <c r="U39"/>
      <c r="V39" s="156"/>
      <c r="W39" t="s">
        <v>75</v>
      </c>
      <c r="X39">
        <v>11</v>
      </c>
      <c r="Y39" s="147">
        <f>$O$49</f>
        <v>119.488688016529</v>
      </c>
      <c r="Z39" s="202">
        <f>$X$23*($X$39/$X$39)</f>
        <v>-1.562499999829825E-5</v>
      </c>
      <c r="AA39" s="147">
        <f>$Y$39-$Z$39</f>
        <v>119.488703641529</v>
      </c>
      <c r="AB39" s="147">
        <f>$P$58</f>
        <v>18.798610141443557</v>
      </c>
      <c r="AC39" s="124" t="s">
        <v>75</v>
      </c>
      <c r="AD39" s="124">
        <v>11</v>
      </c>
      <c r="AE39" s="147">
        <f>$AA$39</f>
        <v>119.488703641529</v>
      </c>
      <c r="AF39" s="202">
        <f>$AD$23*($AD$39/$AD$39)</f>
        <v>1.291967975181052E-3</v>
      </c>
      <c r="AG39" s="147">
        <f>$AE$39-$AF$39</f>
        <v>119.48741167355382</v>
      </c>
      <c r="AH39" s="147">
        <f>$AB$39</f>
        <v>18.798610141443557</v>
      </c>
      <c r="AI39"/>
      <c r="AJ39" t="s">
        <v>75</v>
      </c>
      <c r="AK39" s="147">
        <f>VLOOKUP($AJ$39,$AC$28:$AH$115,5,)</f>
        <v>119.48741167355382</v>
      </c>
      <c r="AL39" s="147">
        <f t="shared" si="0"/>
        <v>18.798610141443557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 s="67" t="s">
        <v>70</v>
      </c>
      <c r="B40" s="64">
        <f>_xlfn.IFNA(INDEX(Table_INPUT_2D[X],MATCH(Table8[[#This Row],[UID]],Table_INPUT_2D[Unique ID],0)),"")</f>
        <v>9927.6869999999999</v>
      </c>
      <c r="C40" s="64">
        <f>_xlfn.IFNA(INDEX(Table_INPUT_2D[Y],MATCH(Table8[[#This Row],[UID]],Table_INPUT_2D[Unique ID],0)),"")</f>
        <v>5126.308</v>
      </c>
      <c r="D40" s="64">
        <f>_xlfn.IFNA(INDEX(Table_INPUT_2D[Z],MATCH(Table8[[#This Row],[UID]],Table_INPUT_2D[Unique ID],0)),"")</f>
        <v>198.922</v>
      </c>
      <c r="E40" s="65" t="s">
        <v>159</v>
      </c>
      <c r="G40" s="2" t="str">
        <f>IF($A$40 &lt;&gt; "",$A$40, "")</f>
        <v>MR9007</v>
      </c>
      <c r="H40" s="2">
        <f>IF($B$40 &lt;&gt; "",$B$40, "")</f>
        <v>9927.6869999999999</v>
      </c>
      <c r="I40" s="2">
        <f>IF($C$40 &lt;&gt; "",$C$40, "")</f>
        <v>5126.308</v>
      </c>
      <c r="J40" s="2">
        <f>IF($D$40 &lt;&gt; "",$D$40, "")</f>
        <v>198.922</v>
      </c>
      <c r="K40"/>
      <c r="L40"/>
      <c r="M40"/>
      <c r="N40">
        <f>$M$41-$M$39</f>
        <v>1.0825000000000102</v>
      </c>
      <c r="O40" s="56"/>
      <c r="P40">
        <f>SQRT(($K$41-$K$39)^2 +($L$41-$L$39)^2)</f>
        <v>21.144074926560126</v>
      </c>
      <c r="Q40"/>
      <c r="R40"/>
      <c r="S40"/>
      <c r="T40"/>
      <c r="U40"/>
      <c r="V40" s="156"/>
      <c r="W40"/>
      <c r="X40"/>
      <c r="Y40" s="147"/>
      <c r="Z40" s="202"/>
      <c r="AA40" s="147"/>
      <c r="AB40" s="147"/>
      <c r="AC40" s="124"/>
      <c r="AD40" s="124"/>
      <c r="AE40" s="147"/>
      <c r="AF40" s="205"/>
      <c r="AG40" s="147"/>
      <c r="AH40" s="147"/>
      <c r="AI40"/>
      <c r="AJ40" t="s">
        <v>76</v>
      </c>
      <c r="AK40" s="147">
        <f>VLOOKUP($AJ$40,$AC$28:$AH$115,5,)</f>
        <v>119.87328403925632</v>
      </c>
      <c r="AL40" s="147">
        <f t="shared" si="0"/>
        <v>21.348439755635397</v>
      </c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 s="67" t="s">
        <v>71</v>
      </c>
      <c r="B41" s="64">
        <f>_xlfn.IFNA(INDEX(Table_INPUT_2D[X],MATCH(Table8[[#This Row],[UID]],Table_INPUT_2D[Unique ID],0)),"")</f>
        <v>9945.74</v>
      </c>
      <c r="C41" s="64">
        <f>_xlfn.IFNA(INDEX(Table_INPUT_2D[Y],MATCH(Table8[[#This Row],[UID]],Table_INPUT_2D[Unique ID],0)),"")</f>
        <v>5115.3010000000004</v>
      </c>
      <c r="D41" s="64">
        <f>_xlfn.IFNA(INDEX(Table_INPUT_2D[Z],MATCH(Table8[[#This Row],[UID]],Table_INPUT_2D[Unique ID],0)),"")</f>
        <v>200.00399999999999</v>
      </c>
      <c r="E41" s="65" t="s">
        <v>160</v>
      </c>
      <c r="G41" s="2" t="str">
        <f>IF($A$41 &lt;&gt; "",$A$41, "")</f>
        <v>MR9008</v>
      </c>
      <c r="H41" s="2">
        <f>IF($B$41 &lt;&gt; "",$B$41, "")</f>
        <v>9945.74</v>
      </c>
      <c r="I41" s="2">
        <f>IF($C$41 &lt;&gt; "",$C$41, "")</f>
        <v>5115.3010000000004</v>
      </c>
      <c r="J41" s="2">
        <f>IF($D$41 &lt;&gt; "",$D$41, "")</f>
        <v>200.00399999999999</v>
      </c>
      <c r="K41">
        <f>AVERAGE($H$41,$H$42)</f>
        <v>9945.74</v>
      </c>
      <c r="L41">
        <f>AVERAGE($I$41,$I$42)</f>
        <v>5115.3010000000004</v>
      </c>
      <c r="M41">
        <f>AVERAGE($J$41,$J$42)</f>
        <v>200.00450000000001</v>
      </c>
      <c r="N41"/>
      <c r="O41" s="56">
        <f>$O$39+($N$40)</f>
        <v>118.789188016529</v>
      </c>
      <c r="P41"/>
      <c r="Q41"/>
      <c r="R41"/>
      <c r="S41"/>
      <c r="T41"/>
      <c r="U41"/>
      <c r="V41" s="156">
        <v>2</v>
      </c>
      <c r="W41" t="s">
        <v>76</v>
      </c>
      <c r="X41">
        <v>1</v>
      </c>
      <c r="Y41" s="147">
        <f>$O$59</f>
        <v>119.87468801652902</v>
      </c>
      <c r="Z41" s="202">
        <f>$X$23*($X$41/$X$50)+$Z$39</f>
        <v>-1.7187499998128075E-5</v>
      </c>
      <c r="AA41" s="147">
        <f>$Y$41-$Z$41</f>
        <v>119.87470520402901</v>
      </c>
      <c r="AB41" s="147">
        <f>$P$60</f>
        <v>21.348439755635397</v>
      </c>
      <c r="AC41" s="124" t="s">
        <v>76</v>
      </c>
      <c r="AD41" s="124">
        <v>1</v>
      </c>
      <c r="AE41" s="147">
        <f>$AA$41</f>
        <v>119.87470520402901</v>
      </c>
      <c r="AF41" s="202">
        <f>$AD$23*($AD$41/$AD$50)+$AF$39</f>
        <v>1.4211647726991572E-3</v>
      </c>
      <c r="AG41" s="147">
        <f>$AE$41-$AF$41</f>
        <v>119.87328403925632</v>
      </c>
      <c r="AH41" s="147">
        <f>$AB$41</f>
        <v>21.348439755635397</v>
      </c>
      <c r="AI41"/>
      <c r="AJ41" t="s">
        <v>77</v>
      </c>
      <c r="AK41" s="147">
        <f>VLOOKUP($AJ$41,$AC$28:$AH$115,5,)</f>
        <v>119.98465640495877</v>
      </c>
      <c r="AL41" s="147">
        <f t="shared" si="0"/>
        <v>17.826817473962631</v>
      </c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 s="67" t="s">
        <v>71</v>
      </c>
      <c r="B42" s="64">
        <f>_xlfn.IFNA(INDEX(Table_INPUT_2D[X],MATCH(Table8[[#This Row],[UID]],Table_INPUT_2D[Unique ID],0)),"")</f>
        <v>9945.74</v>
      </c>
      <c r="C42" s="64">
        <f>_xlfn.IFNA(INDEX(Table_INPUT_2D[Y],MATCH(Table8[[#This Row],[UID]],Table_INPUT_2D[Unique ID],0)),"")</f>
        <v>5115.3010000000004</v>
      </c>
      <c r="D42" s="64">
        <f>_xlfn.IFNA(INDEX(Table_INPUT_2D[Z],MATCH(Table8[[#This Row],[UID]],Table_INPUT_2D[Unique ID],0)),"")</f>
        <v>200.005</v>
      </c>
      <c r="E42" s="65" t="s">
        <v>161</v>
      </c>
      <c r="G42" s="2" t="str">
        <f>IF($A$42 &lt;&gt; "",$A$42, "")</f>
        <v>MR9008</v>
      </c>
      <c r="H42" s="2">
        <f>IF($B$42 &lt;&gt; "",$B$42, "")</f>
        <v>9945.74</v>
      </c>
      <c r="I42" s="2">
        <f>IF($C$42 &lt;&gt; "",$C$42, "")</f>
        <v>5115.3010000000004</v>
      </c>
      <c r="J42" s="2">
        <f>IF($D$42 &lt;&gt; "",$D$42, "")</f>
        <v>200.005</v>
      </c>
      <c r="K42"/>
      <c r="L42"/>
      <c r="M42"/>
      <c r="N42">
        <f>$M$43-$M$41</f>
        <v>0.17849999999998545</v>
      </c>
      <c r="O42" s="56"/>
      <c r="P42">
        <f>SQRT(($K$43-$K$41)^2 +($L$43-$L$41)^2)</f>
        <v>19.920606541970479</v>
      </c>
      <c r="Q42"/>
      <c r="R42"/>
      <c r="S42"/>
      <c r="T42"/>
      <c r="U42"/>
      <c r="V42" s="156"/>
      <c r="W42" t="s">
        <v>77</v>
      </c>
      <c r="X42">
        <v>2</v>
      </c>
      <c r="Y42" s="147">
        <f>$O$61</f>
        <v>119.986188016529</v>
      </c>
      <c r="Z42" s="202">
        <f>$X$23*($X$42/$X$50)+$Z$39</f>
        <v>-1.87499999979579E-5</v>
      </c>
      <c r="AA42" s="147">
        <f>$Y$42-$Z$42</f>
        <v>119.98620676652899</v>
      </c>
      <c r="AB42" s="147">
        <f>$P$62</f>
        <v>17.826817473962631</v>
      </c>
      <c r="AC42" s="124" t="s">
        <v>77</v>
      </c>
      <c r="AD42" s="124">
        <v>2</v>
      </c>
      <c r="AE42" s="147">
        <f>$AA$42</f>
        <v>119.98620676652899</v>
      </c>
      <c r="AF42" s="202">
        <f>$AD$23*($AD$42/$AD$50)+$AF$39</f>
        <v>1.5503615702172624E-3</v>
      </c>
      <c r="AG42" s="147">
        <f>$AE$42-$AF$42</f>
        <v>119.98465640495877</v>
      </c>
      <c r="AH42" s="147">
        <f>$AB$42</f>
        <v>17.826817473962631</v>
      </c>
      <c r="AI42"/>
      <c r="AJ42" t="s">
        <v>78</v>
      </c>
      <c r="AK42" s="147">
        <f>VLOOKUP($AJ$42,$AC$28:$AH$115,5,)</f>
        <v>119.80702877066125</v>
      </c>
      <c r="AL42" s="147">
        <f t="shared" si="0"/>
        <v>21.31730532337545</v>
      </c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 s="67" t="s">
        <v>72</v>
      </c>
      <c r="B43" s="64">
        <f>_xlfn.IFNA(INDEX(Table_INPUT_2D[X],MATCH(Table8[[#This Row],[UID]],Table_INPUT_2D[Unique ID],0)),"")</f>
        <v>9961.9789999999994</v>
      </c>
      <c r="C43" s="64">
        <f>_xlfn.IFNA(INDEX(Table_INPUT_2D[Y],MATCH(Table8[[#This Row],[UID]],Table_INPUT_2D[Unique ID],0)),"")</f>
        <v>5103.7629999999999</v>
      </c>
      <c r="D43" s="64">
        <f>_xlfn.IFNA(INDEX(Table_INPUT_2D[Z],MATCH(Table8[[#This Row],[UID]],Table_INPUT_2D[Unique ID],0)),"")</f>
        <v>200.18299999999999</v>
      </c>
      <c r="E43" s="65" t="s">
        <v>162</v>
      </c>
      <c r="G43" s="2" t="str">
        <f>IF($A$43 &lt;&gt; "",$A$43, "")</f>
        <v>MR9009</v>
      </c>
      <c r="H43" s="2">
        <f>IF($B$43 &lt;&gt; "",$B$43, "")</f>
        <v>9961.9789999999994</v>
      </c>
      <c r="I43" s="2">
        <f>IF($C$43 &lt;&gt; "",$C$43, "")</f>
        <v>5103.7629999999999</v>
      </c>
      <c r="J43" s="2">
        <f>IF($D$43 &lt;&gt; "",$D$43, "")</f>
        <v>200.18299999999999</v>
      </c>
      <c r="K43">
        <f>AVERAGE($H$43,$H$44)</f>
        <v>9961.9789999999994</v>
      </c>
      <c r="L43">
        <f>AVERAGE($I$43,$I$44)</f>
        <v>5103.7629999999999</v>
      </c>
      <c r="M43">
        <f>AVERAGE($J$43,$J$44)</f>
        <v>200.18299999999999</v>
      </c>
      <c r="N43"/>
      <c r="O43" s="56">
        <f>$O$41+($N$42)</f>
        <v>118.96768801652898</v>
      </c>
      <c r="P43"/>
      <c r="Q43"/>
      <c r="R43"/>
      <c r="S43"/>
      <c r="T43"/>
      <c r="U43"/>
      <c r="V43" s="156"/>
      <c r="W43" t="s">
        <v>78</v>
      </c>
      <c r="X43">
        <v>3</v>
      </c>
      <c r="Y43" s="147">
        <f>$O$63</f>
        <v>119.80868801652899</v>
      </c>
      <c r="Z43" s="202">
        <f>$X$23*($X$43/$X$50)+$Z$39</f>
        <v>-2.0312499997787725E-5</v>
      </c>
      <c r="AA43" s="147">
        <f>$Y$43-$Z$43</f>
        <v>119.80870832902899</v>
      </c>
      <c r="AB43" s="147">
        <f>$P$64</f>
        <v>21.31730532337545</v>
      </c>
      <c r="AC43" s="124" t="s">
        <v>78</v>
      </c>
      <c r="AD43" s="124">
        <v>3</v>
      </c>
      <c r="AE43" s="147">
        <f>$AA$43</f>
        <v>119.80870832902899</v>
      </c>
      <c r="AF43" s="202">
        <f>$AD$23*($AD$43/$AD$50)+$AF$39</f>
        <v>1.6795583677353676E-3</v>
      </c>
      <c r="AG43" s="147">
        <f>$AE$43-$AF$43</f>
        <v>119.80702877066125</v>
      </c>
      <c r="AH43" s="147">
        <f>$AB$43</f>
        <v>21.31730532337545</v>
      </c>
      <c r="AI43"/>
      <c r="AJ43" t="s">
        <v>79</v>
      </c>
      <c r="AK43" s="147">
        <f>VLOOKUP($AJ$43,$AC$28:$AH$115,5,)</f>
        <v>119.41940113636375</v>
      </c>
      <c r="AL43" s="147">
        <f t="shared" si="0"/>
        <v>18.131536862605451</v>
      </c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 s="67" t="s">
        <v>72</v>
      </c>
      <c r="B44" s="66">
        <f>_xlfn.IFNA(INDEX(Table_INPUT_2D[X],MATCH(Table8[[#This Row],[UID]],Table_INPUT_2D[Unique ID],0)),"")</f>
        <v>9961.9789999999994</v>
      </c>
      <c r="C44" s="66">
        <f>_xlfn.IFNA(INDEX(Table_INPUT_2D[Y],MATCH(Table8[[#This Row],[UID]],Table_INPUT_2D[Unique ID],0)),"")</f>
        <v>5103.7629999999999</v>
      </c>
      <c r="D44" s="66">
        <f>_xlfn.IFNA(INDEX(Table_INPUT_2D[Z],MATCH(Table8[[#This Row],[UID]],Table_INPUT_2D[Unique ID],0)),"")</f>
        <v>200.18299999999999</v>
      </c>
      <c r="E44" s="65" t="s">
        <v>163</v>
      </c>
      <c r="G44" s="2" t="str">
        <f>IF($A$44 &lt;&gt; "",$A$44, "")</f>
        <v>MR9009</v>
      </c>
      <c r="H44" s="2">
        <f>IF($B$44 &lt;&gt; "",$B$44, "")</f>
        <v>9961.9789999999994</v>
      </c>
      <c r="I44" s="2">
        <f>IF($C$44 &lt;&gt; "",$C$44, "")</f>
        <v>5103.7629999999999</v>
      </c>
      <c r="J44" s="2">
        <f>IF($D$44 &lt;&gt; "",$D$44, "")</f>
        <v>200.18299999999999</v>
      </c>
      <c r="K44"/>
      <c r="L44"/>
      <c r="M44"/>
      <c r="N44">
        <f>$M$45-$M$43</f>
        <v>0.25950000000000273</v>
      </c>
      <c r="O44" s="56"/>
      <c r="P44">
        <f>SQRT(($K$45-$K$43)^2 +($L$45-$L$43)^2)</f>
        <v>19.637285154777341</v>
      </c>
      <c r="Q44"/>
      <c r="R44"/>
      <c r="S44"/>
      <c r="T44"/>
      <c r="U44"/>
      <c r="V44" s="156"/>
      <c r="W44" t="s">
        <v>79</v>
      </c>
      <c r="X44">
        <v>4</v>
      </c>
      <c r="Y44" s="147">
        <f>$O$65</f>
        <v>119.421188016529</v>
      </c>
      <c r="Z44" s="202">
        <f>$X$23*($X$44/$X$50)+$Z$39</f>
        <v>-2.187499999761755E-5</v>
      </c>
      <c r="AA44" s="147">
        <f>$Y$44-$Z$44</f>
        <v>119.421209891529</v>
      </c>
      <c r="AB44" s="147">
        <f>$P$66</f>
        <v>18.131536862605451</v>
      </c>
      <c r="AC44" s="124" t="s">
        <v>79</v>
      </c>
      <c r="AD44" s="124">
        <v>4</v>
      </c>
      <c r="AE44" s="147">
        <f>$AA$44</f>
        <v>119.421209891529</v>
      </c>
      <c r="AF44" s="202">
        <f>$AD$23*($AD$44/$AD$50)+$AF$39</f>
        <v>1.8087551652534728E-3</v>
      </c>
      <c r="AG44" s="147">
        <f>$AE$44-$AF$44</f>
        <v>119.41940113636375</v>
      </c>
      <c r="AH44" s="147">
        <f>$AB$44</f>
        <v>18.131536862605451</v>
      </c>
      <c r="AI44"/>
      <c r="AJ44" t="s">
        <v>80</v>
      </c>
      <c r="AK44" s="147">
        <f>VLOOKUP($AJ$44,$AC$28:$AH$115,5,)</f>
        <v>119.11427350206624</v>
      </c>
      <c r="AL44" s="147">
        <f t="shared" si="0"/>
        <v>20.98883846833786</v>
      </c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 s="67" t="s">
        <v>73</v>
      </c>
      <c r="B45" s="66">
        <f>_xlfn.IFNA(INDEX(Table_INPUT_2D[X],MATCH(Table8[[#This Row],[UID]],Table_INPUT_2D[Unique ID],0)),"")</f>
        <v>9977.9230000000007</v>
      </c>
      <c r="C45" s="66">
        <f>_xlfn.IFNA(INDEX(Table_INPUT_2D[Y],MATCH(Table8[[#This Row],[UID]],Table_INPUT_2D[Unique ID],0)),"")</f>
        <v>5092.3</v>
      </c>
      <c r="D45" s="66">
        <f>_xlfn.IFNA(INDEX(Table_INPUT_2D[Z],MATCH(Table8[[#This Row],[UID]],Table_INPUT_2D[Unique ID],0)),"")</f>
        <v>200.44300000000001</v>
      </c>
      <c r="E45" s="65" t="s">
        <v>164</v>
      </c>
      <c r="G45" s="2" t="str">
        <f>IF($A$45 &lt;&gt; "",$A$45, "")</f>
        <v>MR9010</v>
      </c>
      <c r="H45" s="2">
        <f>IF($B$45 &lt;&gt; "",$B$45, "")</f>
        <v>9977.9230000000007</v>
      </c>
      <c r="I45" s="2">
        <f>IF($C$45 &lt;&gt; "",$C$45, "")</f>
        <v>5092.3</v>
      </c>
      <c r="J45" s="2">
        <f>IF($D$45 &lt;&gt; "",$D$45, "")</f>
        <v>200.44300000000001</v>
      </c>
      <c r="K45">
        <f>AVERAGE($H$45,$H$46)</f>
        <v>9977.9230000000007</v>
      </c>
      <c r="L45">
        <f>AVERAGE($I$45,$I$46)</f>
        <v>5092.2995000000001</v>
      </c>
      <c r="M45">
        <f>AVERAGE($J$45,$J$46)</f>
        <v>200.4425</v>
      </c>
      <c r="N45"/>
      <c r="O45" s="56">
        <f>$O$43+($N$44)</f>
        <v>119.22718801652898</v>
      </c>
      <c r="P45"/>
      <c r="Q45"/>
      <c r="R45"/>
      <c r="S45"/>
      <c r="T45"/>
      <c r="U45"/>
      <c r="V45" s="156"/>
      <c r="W45" t="s">
        <v>80</v>
      </c>
      <c r="X45">
        <v>5</v>
      </c>
      <c r="Y45" s="147">
        <f>$O$67</f>
        <v>119.11618801652902</v>
      </c>
      <c r="Z45" s="202">
        <f>$X$23*($X$45/$X$50)+$Z$39</f>
        <v>-2.3437499997447375E-5</v>
      </c>
      <c r="AA45" s="147">
        <f>$Y$45-$Z$45</f>
        <v>119.11621145402901</v>
      </c>
      <c r="AB45" s="147">
        <f>$P$68</f>
        <v>20.98883846833786</v>
      </c>
      <c r="AC45" s="124" t="s">
        <v>80</v>
      </c>
      <c r="AD45" s="124">
        <v>5</v>
      </c>
      <c r="AE45" s="147">
        <f>$AA$45</f>
        <v>119.11621145402901</v>
      </c>
      <c r="AF45" s="202">
        <f>$AD$23*($AD$45/$AD$50)+$AF$39</f>
        <v>1.937951962771578E-3</v>
      </c>
      <c r="AG45" s="147">
        <f>$AE$45-$AF$45</f>
        <v>119.11427350206624</v>
      </c>
      <c r="AH45" s="147">
        <f>$AB$45</f>
        <v>20.98883846833786</v>
      </c>
      <c r="AI45"/>
      <c r="AJ45" t="s">
        <v>81</v>
      </c>
      <c r="AK45" s="147">
        <f>VLOOKUP($AJ$45,$AC$28:$AH$115,5,)</f>
        <v>119.05564586776872</v>
      </c>
      <c r="AL45" s="147">
        <f t="shared" si="0"/>
        <v>20.916837434230668</v>
      </c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 s="67" t="s">
        <v>73</v>
      </c>
      <c r="B46" s="66">
        <f>_xlfn.IFNA(INDEX(Table_INPUT_2D[X],MATCH(Table8[[#This Row],[UID]],Table_INPUT_2D[Unique ID],0)),"")</f>
        <v>9977.9230000000007</v>
      </c>
      <c r="C46" s="66">
        <f>_xlfn.IFNA(INDEX(Table_INPUT_2D[Y],MATCH(Table8[[#This Row],[UID]],Table_INPUT_2D[Unique ID],0)),"")</f>
        <v>5092.299</v>
      </c>
      <c r="D46" s="66">
        <f>_xlfn.IFNA(INDEX(Table_INPUT_2D[Z],MATCH(Table8[[#This Row],[UID]],Table_INPUT_2D[Unique ID],0)),"")</f>
        <v>200.44200000000001</v>
      </c>
      <c r="E46" s="65" t="s">
        <v>165</v>
      </c>
      <c r="G46" s="2" t="str">
        <f>IF($A$46 &lt;&gt; "",$A$46, "")</f>
        <v>MR9010</v>
      </c>
      <c r="H46" s="2">
        <f>IF($B$46 &lt;&gt; "",$B$46, "")</f>
        <v>9977.9230000000007</v>
      </c>
      <c r="I46" s="2">
        <f>IF($C$46 &lt;&gt; "",$C$46, "")</f>
        <v>5092.299</v>
      </c>
      <c r="J46" s="2">
        <f>IF($D$46 &lt;&gt; "",$D$46, "")</f>
        <v>200.44200000000001</v>
      </c>
      <c r="K46"/>
      <c r="L46"/>
      <c r="M46"/>
      <c r="N46">
        <f>$M$47-$M$45</f>
        <v>0.13249999999999318</v>
      </c>
      <c r="O46" s="56"/>
      <c r="P46">
        <f>SQRT(($K$47-$K$45)^2 +($L$47-$L$45)^2)</f>
        <v>20.504782125153046</v>
      </c>
      <c r="Q46"/>
      <c r="R46"/>
      <c r="S46"/>
      <c r="T46"/>
      <c r="U46"/>
      <c r="V46" s="156"/>
      <c r="W46" t="s">
        <v>81</v>
      </c>
      <c r="X46">
        <v>6</v>
      </c>
      <c r="Y46" s="147">
        <f>$O$69</f>
        <v>119.05768801652901</v>
      </c>
      <c r="Z46" s="202">
        <f>$X$23*($X$46/$X$50)+$Z$39</f>
        <v>-2.49999999972772E-5</v>
      </c>
      <c r="AA46" s="147">
        <f>$Y$46-$Z$46</f>
        <v>119.05771301652901</v>
      </c>
      <c r="AB46" s="147">
        <f>$P$70</f>
        <v>20.916837434230668</v>
      </c>
      <c r="AC46" s="124" t="s">
        <v>81</v>
      </c>
      <c r="AD46" s="124">
        <v>6</v>
      </c>
      <c r="AE46" s="147">
        <f>$AA$46</f>
        <v>119.05771301652901</v>
      </c>
      <c r="AF46" s="202">
        <f>$AD$23*($AD$46/$AD$50)+$AF$39</f>
        <v>2.0671487602896832E-3</v>
      </c>
      <c r="AG46" s="147">
        <f>$AE$46-$AF$46</f>
        <v>119.05564586776872</v>
      </c>
      <c r="AH46" s="147">
        <f>$AB$46</f>
        <v>20.916837434230668</v>
      </c>
      <c r="AI46"/>
      <c r="AJ46" t="s">
        <v>82</v>
      </c>
      <c r="AK46" s="147">
        <f>VLOOKUP($AJ$46,$AC$28:$AH$115,5,)</f>
        <v>119.12351823347119</v>
      </c>
      <c r="AL46" s="147">
        <f t="shared" si="0"/>
        <v>18.598219679582112</v>
      </c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 s="67" t="s">
        <v>74</v>
      </c>
      <c r="B47" s="66">
        <f>_xlfn.IFNA(INDEX(Table_INPUT_2D[X],MATCH(Table8[[#This Row],[UID]],Table_INPUT_2D[Unique ID],0)),"")</f>
        <v>9994.52</v>
      </c>
      <c r="C47" s="66">
        <f>_xlfn.IFNA(INDEX(Table_INPUT_2D[Y],MATCH(Table8[[#This Row],[UID]],Table_INPUT_2D[Unique ID],0)),"")</f>
        <v>5080.2579999999998</v>
      </c>
      <c r="D47" s="66">
        <f>_xlfn.IFNA(INDEX(Table_INPUT_2D[Z],MATCH(Table8[[#This Row],[UID]],Table_INPUT_2D[Unique ID],0)),"")</f>
        <v>200.57400000000001</v>
      </c>
      <c r="E47" s="65" t="s">
        <v>166</v>
      </c>
      <c r="G47" s="2" t="str">
        <f>IF($A$47 &lt;&gt; "",$A$47, "")</f>
        <v>MR9011</v>
      </c>
      <c r="H47" s="2">
        <f>IF($B$47 &lt;&gt; "",$B$47, "")</f>
        <v>9994.52</v>
      </c>
      <c r="I47" s="2">
        <f>IF($C$47 &lt;&gt; "",$C$47, "")</f>
        <v>5080.2579999999998</v>
      </c>
      <c r="J47" s="2">
        <f>IF($D$47 &lt;&gt; "",$D$47, "")</f>
        <v>200.57400000000001</v>
      </c>
      <c r="K47">
        <f>AVERAGE($H$47,$H$48)</f>
        <v>9994.52</v>
      </c>
      <c r="L47">
        <f>AVERAGE($I$47,$I$48)</f>
        <v>5080.2584999999999</v>
      </c>
      <c r="M47">
        <f>AVERAGE($J$47,$J$48)</f>
        <v>200.57499999999999</v>
      </c>
      <c r="N47"/>
      <c r="O47" s="56">
        <f>$O$45+($N$46)</f>
        <v>119.35968801652898</v>
      </c>
      <c r="P47"/>
      <c r="Q47"/>
      <c r="R47"/>
      <c r="S47"/>
      <c r="T47"/>
      <c r="U47"/>
      <c r="V47" s="156"/>
      <c r="W47" t="s">
        <v>82</v>
      </c>
      <c r="X47">
        <v>7</v>
      </c>
      <c r="Y47" s="147">
        <f>$O$71</f>
        <v>119.125688016529</v>
      </c>
      <c r="Z47" s="202">
        <f>$X$23*($X$47/$X$50)+$Z$39</f>
        <v>-2.6562499997107025E-5</v>
      </c>
      <c r="AA47" s="147">
        <f>$Y$47-$Z$47</f>
        <v>119.12571457902899</v>
      </c>
      <c r="AB47" s="147">
        <f>$P$72</f>
        <v>18.598219679582112</v>
      </c>
      <c r="AC47" s="124" t="s">
        <v>82</v>
      </c>
      <c r="AD47" s="124">
        <v>7</v>
      </c>
      <c r="AE47" s="147">
        <f>$AA$47</f>
        <v>119.12571457902899</v>
      </c>
      <c r="AF47" s="202">
        <f>$AD$23*($AD$47/$AD$50)+$AF$39</f>
        <v>2.1963455578077884E-3</v>
      </c>
      <c r="AG47" s="147">
        <f>$AE$47-$AF$47</f>
        <v>119.12351823347119</v>
      </c>
      <c r="AH47" s="147">
        <f>$AB$47</f>
        <v>18.598219679582112</v>
      </c>
      <c r="AI47"/>
      <c r="AJ47" t="s">
        <v>83</v>
      </c>
      <c r="AK47" s="147">
        <f>VLOOKUP($AJ$47,$AC$28:$AH$115,5,)</f>
        <v>119.64689059917369</v>
      </c>
      <c r="AL47" s="147">
        <f t="shared" si="0"/>
        <v>21.555228397072916</v>
      </c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 s="67" t="s">
        <v>74</v>
      </c>
      <c r="B48" s="66">
        <f>_xlfn.IFNA(INDEX(Table_INPUT_2D[X],MATCH(Table8[[#This Row],[UID]],Table_INPUT_2D[Unique ID],0)),"")</f>
        <v>9994.52</v>
      </c>
      <c r="C48" s="66">
        <f>_xlfn.IFNA(INDEX(Table_INPUT_2D[Y],MATCH(Table8[[#This Row],[UID]],Table_INPUT_2D[Unique ID],0)),"")</f>
        <v>5080.259</v>
      </c>
      <c r="D48" s="66">
        <f>_xlfn.IFNA(INDEX(Table_INPUT_2D[Z],MATCH(Table8[[#This Row],[UID]],Table_INPUT_2D[Unique ID],0)),"")</f>
        <v>200.57599999999999</v>
      </c>
      <c r="E48" s="65" t="s">
        <v>167</v>
      </c>
      <c r="G48" s="2" t="str">
        <f>IF($A$48 &lt;&gt; "",$A$48, "")</f>
        <v>MR9011</v>
      </c>
      <c r="H48" s="2">
        <f>IF($B$48 &lt;&gt; "",$B$48, "")</f>
        <v>9994.52</v>
      </c>
      <c r="I48" s="2">
        <f>IF($C$48 &lt;&gt; "",$C$48, "")</f>
        <v>5080.259</v>
      </c>
      <c r="J48" s="2">
        <f>IF($D$48 &lt;&gt; "",$D$48, "")</f>
        <v>200.57599999999999</v>
      </c>
      <c r="K48"/>
      <c r="L48"/>
      <c r="M48"/>
      <c r="N48">
        <f>$M$49-$M$47</f>
        <v>0.1290000000000191</v>
      </c>
      <c r="O48" s="56"/>
      <c r="P48">
        <f>SQRT(($K$49-$K$47)^2 +($L$49-$L$47)^2)</f>
        <v>20.6876791895561</v>
      </c>
      <c r="Q48"/>
      <c r="R48"/>
      <c r="S48"/>
      <c r="T48"/>
      <c r="U48"/>
      <c r="V48" s="156"/>
      <c r="W48" t="s">
        <v>83</v>
      </c>
      <c r="X48">
        <v>8</v>
      </c>
      <c r="Y48" s="147">
        <f>$O$73</f>
        <v>119.64918801652901</v>
      </c>
      <c r="Z48" s="202">
        <f>$X$23*($X$48/$X$50)+$Z$39</f>
        <v>-2.812499999693685E-5</v>
      </c>
      <c r="AA48" s="147">
        <f>$Y$48-$Z$48</f>
        <v>119.64921614152901</v>
      </c>
      <c r="AB48" s="147">
        <f>$P$74</f>
        <v>21.555228397072916</v>
      </c>
      <c r="AC48" s="124" t="s">
        <v>83</v>
      </c>
      <c r="AD48" s="124">
        <v>8</v>
      </c>
      <c r="AE48" s="147">
        <f>$AA$48</f>
        <v>119.64921614152901</v>
      </c>
      <c r="AF48" s="202">
        <f>$AD$23*($AD$48/$AD$50)+$AF$39</f>
        <v>2.3255423553258936E-3</v>
      </c>
      <c r="AG48" s="147">
        <f>$AE$48-$AF$48</f>
        <v>119.64689059917369</v>
      </c>
      <c r="AH48" s="147">
        <f>$AB$48</f>
        <v>21.555228397072916</v>
      </c>
      <c r="AI48"/>
      <c r="AJ48" t="s">
        <v>84</v>
      </c>
      <c r="AK48" s="147">
        <f>VLOOKUP($AJ$48,$AC$28:$AH$115,5,)</f>
        <v>119.74926296487619</v>
      </c>
      <c r="AL48" s="147">
        <f t="shared" si="0"/>
        <v>18.160301112591664</v>
      </c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 s="67" t="s">
        <v>75</v>
      </c>
      <c r="B49" s="66">
        <f>_xlfn.IFNA(INDEX(Table_INPUT_2D[X],MATCH(Table8[[#This Row],[UID]],Table_INPUT_2D[Unique ID],0)),"")</f>
        <v>10011.450000000001</v>
      </c>
      <c r="C49" s="66">
        <f>_xlfn.IFNA(INDEX(Table_INPUT_2D[Y],MATCH(Table8[[#This Row],[UID]],Table_INPUT_2D[Unique ID],0)),"")</f>
        <v>5068.3689999999997</v>
      </c>
      <c r="D49" s="66">
        <f>_xlfn.IFNA(INDEX(Table_INPUT_2D[Z],MATCH(Table8[[#This Row],[UID]],Table_INPUT_2D[Unique ID],0)),"")</f>
        <v>200.70500000000001</v>
      </c>
      <c r="E49" s="65" t="s">
        <v>168</v>
      </c>
      <c r="G49" s="2" t="str">
        <f>IF($A$49 &lt;&gt; "",$A$49, "")</f>
        <v>MR9012</v>
      </c>
      <c r="H49" s="2">
        <f>IF($B$49 &lt;&gt; "",$B$49, "")</f>
        <v>10011.450000000001</v>
      </c>
      <c r="I49" s="2">
        <f>IF($C$49 &lt;&gt; "",$C$49, "")</f>
        <v>5068.3689999999997</v>
      </c>
      <c r="J49" s="2">
        <f>IF($D$49 &lt;&gt; "",$D$49, "")</f>
        <v>200.70500000000001</v>
      </c>
      <c r="K49">
        <f>AVERAGE($H$49,$H$50)</f>
        <v>10011.449500000001</v>
      </c>
      <c r="L49">
        <f>AVERAGE($I$49,$I$50)</f>
        <v>5068.3685000000005</v>
      </c>
      <c r="M49">
        <f>AVERAGE($J$49,$J$50)</f>
        <v>200.70400000000001</v>
      </c>
      <c r="N49"/>
      <c r="O49" s="56">
        <f>$O$47+($N$48)</f>
        <v>119.488688016529</v>
      </c>
      <c r="P49"/>
      <c r="Q49"/>
      <c r="R49"/>
      <c r="S49"/>
      <c r="T49"/>
      <c r="U49"/>
      <c r="V49" s="156"/>
      <c r="W49" t="s">
        <v>84</v>
      </c>
      <c r="X49">
        <v>9</v>
      </c>
      <c r="Y49" s="147">
        <f>$O$75</f>
        <v>119.75168801652903</v>
      </c>
      <c r="Z49" s="202">
        <f>$X$23*($X$49/$X$50)+$Z$39</f>
        <v>-2.9687499996766675E-5</v>
      </c>
      <c r="AA49" s="147">
        <f>$Y$49-$Z$49</f>
        <v>119.75171770402903</v>
      </c>
      <c r="AB49" s="147">
        <f>$P$76</f>
        <v>18.160301112591664</v>
      </c>
      <c r="AC49" s="124" t="s">
        <v>84</v>
      </c>
      <c r="AD49" s="124">
        <v>9</v>
      </c>
      <c r="AE49" s="147">
        <f>$AA$49</f>
        <v>119.75171770402903</v>
      </c>
      <c r="AF49" s="202">
        <f>$AD$23*($AD$49/$AD$50)+$AF$39</f>
        <v>2.4547391528439988E-3</v>
      </c>
      <c r="AG49" s="147">
        <f>$AE$49-$AF$49</f>
        <v>119.74926296487619</v>
      </c>
      <c r="AH49" s="147">
        <f>$AB$49</f>
        <v>18.160301112591664</v>
      </c>
      <c r="AI49"/>
      <c r="AJ49" t="s">
        <v>85</v>
      </c>
      <c r="AK49" s="147">
        <f>VLOOKUP($AJ$49,$AC$28:$AH$115,5,)</f>
        <v>119.83113533057866</v>
      </c>
      <c r="AL49" s="147">
        <f t="shared" si="0"/>
        <v>21.080133544406614</v>
      </c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 s="67" t="s">
        <v>75</v>
      </c>
      <c r="B50" s="66">
        <f>_xlfn.IFNA(INDEX(Table_INPUT_2D[X],MATCH(Table8[[#This Row],[UID]],Table_INPUT_2D[Unique ID],0)),"")</f>
        <v>10011.449000000001</v>
      </c>
      <c r="C50" s="66">
        <f>_xlfn.IFNA(INDEX(Table_INPUT_2D[Y],MATCH(Table8[[#This Row],[UID]],Table_INPUT_2D[Unique ID],0)),"")</f>
        <v>5068.3680000000004</v>
      </c>
      <c r="D50" s="66">
        <f>_xlfn.IFNA(INDEX(Table_INPUT_2D[Z],MATCH(Table8[[#This Row],[UID]],Table_INPUT_2D[Unique ID],0)),"")</f>
        <v>200.703</v>
      </c>
      <c r="E50" s="65" t="s">
        <v>169</v>
      </c>
      <c r="G50" s="2" t="str">
        <f>IF($A$50 &lt;&gt; "",$A$50, "")</f>
        <v>MR9012</v>
      </c>
      <c r="H50" s="2">
        <f>IF($B$50 &lt;&gt; "",$B$50, "")</f>
        <v>10011.449000000001</v>
      </c>
      <c r="I50" s="2">
        <f>IF($C$50 &lt;&gt; "",$C$50, "")</f>
        <v>5068.3680000000004</v>
      </c>
      <c r="J50" s="2">
        <f>IF($D$50 &lt;&gt; "",$D$50, "")</f>
        <v>200.703</v>
      </c>
      <c r="K50"/>
      <c r="L50"/>
      <c r="M50"/>
      <c r="N50"/>
      <c r="O50" s="56"/>
      <c r="P50"/>
      <c r="Q50"/>
      <c r="R50"/>
      <c r="S50"/>
      <c r="T50"/>
      <c r="U50"/>
      <c r="V50" s="156"/>
      <c r="W50" t="s">
        <v>85</v>
      </c>
      <c r="X50">
        <v>10</v>
      </c>
      <c r="Y50" s="147">
        <f>$O$77</f>
        <v>119.83368801652902</v>
      </c>
      <c r="Z50" s="202">
        <f>$X$23*($X$50/$X$50)+$Z$39</f>
        <v>-3.12499999965965E-5</v>
      </c>
      <c r="AA50" s="147">
        <f>$Y$50-$Z$50</f>
        <v>119.83371926652902</v>
      </c>
      <c r="AB50" s="147">
        <f>$P$86</f>
        <v>21.080133544406614</v>
      </c>
      <c r="AC50" s="124" t="s">
        <v>85</v>
      </c>
      <c r="AD50" s="124">
        <v>10</v>
      </c>
      <c r="AE50" s="147">
        <f>$AA$50</f>
        <v>119.83371926652902</v>
      </c>
      <c r="AF50" s="202">
        <f>$AD$23*($AD$50/$AD$50)+$AF$39</f>
        <v>2.583935950362104E-3</v>
      </c>
      <c r="AG50" s="147">
        <f>$AE$50-$AF$50</f>
        <v>119.83113533057866</v>
      </c>
      <c r="AH50" s="147">
        <f>$AB$50</f>
        <v>21.080133544406614</v>
      </c>
      <c r="AI50"/>
      <c r="AJ50" t="s">
        <v>86</v>
      </c>
      <c r="AK50" s="147">
        <f>VLOOKUP($AJ$50,$AC$28:$AH$115,5,)</f>
        <v>119.96250769628112</v>
      </c>
      <c r="AL50" s="147">
        <f t="shared" si="0"/>
        <v>26.366435220749693</v>
      </c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 s="63" t="s">
        <v>21</v>
      </c>
      <c r="B51" s="64" t="str">
        <f>_xlfn.IFNA(INDEX(Table_INPUT_2D[X],MATCH(Table8[[#This Row],[UID]],Table_INPUT_2D[Unique ID],0)),"")</f>
        <v/>
      </c>
      <c r="C51" s="64" t="str">
        <f>_xlfn.IFNA(INDEX(Table_INPUT_2D[Y],MATCH(Table8[[#This Row],[UID]],Table_INPUT_2D[Unique ID],0)),"")</f>
        <v/>
      </c>
      <c r="D51" s="64" t="str">
        <f>_xlfn.IFNA(INDEX(Table_INPUT_2D[Z],MATCH(Table8[[#This Row],[UID]],Table_INPUT_2D[Unique ID],0)),"")</f>
        <v/>
      </c>
      <c r="E51" s="65"/>
      <c r="G51" s="2" t="str">
        <f>IF($A$51 &lt;&gt; "",$A$51, "")</f>
        <v>CLOSE</v>
      </c>
      <c r="H51" s="2" t="str">
        <f>IF($B$51 &lt;&gt; "",$B$51, "")</f>
        <v/>
      </c>
      <c r="I51" s="2" t="str">
        <f>IF($C$51 &lt;&gt; "",$C$51, "")</f>
        <v/>
      </c>
      <c r="J51" s="2" t="str">
        <f>IF($D$51 &lt;&gt; "",$D$51, "")</f>
        <v/>
      </c>
      <c r="K51"/>
      <c r="L51"/>
      <c r="M51"/>
      <c r="N51"/>
      <c r="O51" s="56"/>
      <c r="P51"/>
      <c r="Q51"/>
      <c r="R51"/>
      <c r="S51"/>
      <c r="T51"/>
      <c r="U51"/>
      <c r="V51" s="156"/>
      <c r="W51"/>
      <c r="X51"/>
      <c r="Y51" s="147"/>
      <c r="Z51" s="202"/>
      <c r="AA51" s="147"/>
      <c r="AB51" s="147"/>
      <c r="AC51" s="124"/>
      <c r="AD51" s="124"/>
      <c r="AE51" s="147"/>
      <c r="AF51" s="202"/>
      <c r="AG51" s="147"/>
      <c r="AH51" s="147"/>
      <c r="AI51"/>
      <c r="AJ51" t="s">
        <v>87</v>
      </c>
      <c r="AK51" s="147">
        <f>VLOOKUP($AJ$51,$AC$28:$AH$115,5,)</f>
        <v>120.39038006198363</v>
      </c>
      <c r="AL51" s="147">
        <f t="shared" si="0"/>
        <v>15.06019164884815</v>
      </c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 s="67" t="s">
        <v>64</v>
      </c>
      <c r="B52" s="64">
        <f>_xlfn.IFNA(INDEX(Table_INPUT_2D[X],MATCH(Table8[[#This Row],[UID]],Table_INPUT_2D[Unique ID],0)),"")</f>
        <v>9820.9500000000007</v>
      </c>
      <c r="C52" s="64">
        <f>_xlfn.IFNA(INDEX(Table_INPUT_2D[Y],MATCH(Table8[[#This Row],[UID]],Table_INPUT_2D[Unique ID],0)),"")</f>
        <v>5174.3069999999998</v>
      </c>
      <c r="D52" s="64">
        <f>_xlfn.IFNA(INDEX(Table_INPUT_2D[Z],MATCH(Table8[[#This Row],[UID]],Table_INPUT_2D[Unique ID],0)),"")</f>
        <v>193.25</v>
      </c>
      <c r="E52" s="65" t="s">
        <v>147</v>
      </c>
      <c r="G52" s="2" t="str">
        <f>IF($A$52 &lt;&gt; "",$A$52, "")</f>
        <v>MR9001</v>
      </c>
      <c r="H52" s="2">
        <f>IF($B$52 &lt;&gt; "",$B$52, "")</f>
        <v>9820.9500000000007</v>
      </c>
      <c r="I52" s="2">
        <f>IF($C$52 &lt;&gt; "",$C$52, "")</f>
        <v>5174.3069999999998</v>
      </c>
      <c r="J52" s="2">
        <f>IF($D$52 &lt;&gt; "",$D$52, "")</f>
        <v>193.25</v>
      </c>
      <c r="K52">
        <f>AVERAGE($H$52,$H$53)</f>
        <v>9820.950499999999</v>
      </c>
      <c r="L52">
        <f>AVERAGE($I$52,$I$53)</f>
        <v>5174.3085000000001</v>
      </c>
      <c r="M52">
        <f>AVERAGE($J$52,$J$53)</f>
        <v>193.249</v>
      </c>
      <c r="N52"/>
      <c r="O52" s="56">
        <f>$O$54+(-$N$53)</f>
        <v>112.03368801652906</v>
      </c>
      <c r="P52"/>
      <c r="Q52"/>
      <c r="R52"/>
      <c r="S52"/>
      <c r="T52"/>
      <c r="U52"/>
      <c r="V52" s="156">
        <v>3</v>
      </c>
      <c r="W52" t="s">
        <v>86</v>
      </c>
      <c r="X52">
        <v>1</v>
      </c>
      <c r="Y52" s="147">
        <f>$O$87</f>
        <v>119.96518801652901</v>
      </c>
      <c r="Z52" s="202">
        <f>$X$23*($X$52/$X$61)+$Z$50</f>
        <v>-3.2812499996426325E-5</v>
      </c>
      <c r="AA52" s="147">
        <f>$Y$52-$Z$52</f>
        <v>119.96522082902901</v>
      </c>
      <c r="AB52" s="147">
        <f>$P$88</f>
        <v>26.366435220749693</v>
      </c>
      <c r="AC52" s="124" t="s">
        <v>86</v>
      </c>
      <c r="AD52" s="124">
        <v>1</v>
      </c>
      <c r="AE52" s="147">
        <f>$AA$52</f>
        <v>119.96522082902901</v>
      </c>
      <c r="AF52" s="202">
        <f>$AD$23*($AD$52/$AD$61)+$AF$50</f>
        <v>2.7131327478802092E-3</v>
      </c>
      <c r="AG52" s="147">
        <f>$AE$52-$AF$52</f>
        <v>119.96250769628112</v>
      </c>
      <c r="AH52" s="147">
        <f>$AB$52</f>
        <v>26.366435220749693</v>
      </c>
      <c r="AI52"/>
      <c r="AJ52" t="s">
        <v>88</v>
      </c>
      <c r="AK52" s="147">
        <f>VLOOKUP($AJ$52,$AC$28:$AH$115,5,)</f>
        <v>120.8152524276861</v>
      </c>
      <c r="AL52" s="147">
        <f t="shared" si="0"/>
        <v>17.809766997352771</v>
      </c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 s="67" t="s">
        <v>64</v>
      </c>
      <c r="B53" s="64">
        <f>_xlfn.IFNA(INDEX(Table_INPUT_2D[X],MATCH(Table8[[#This Row],[UID]],Table_INPUT_2D[Unique ID],0)),"")</f>
        <v>9820.9509999999991</v>
      </c>
      <c r="C53" s="64">
        <f>_xlfn.IFNA(INDEX(Table_INPUT_2D[Y],MATCH(Table8[[#This Row],[UID]],Table_INPUT_2D[Unique ID],0)),"")</f>
        <v>5174.3100000000004</v>
      </c>
      <c r="D53" s="64">
        <f>_xlfn.IFNA(INDEX(Table_INPUT_2D[Z],MATCH(Table8[[#This Row],[UID]],Table_INPUT_2D[Unique ID],0)),"")</f>
        <v>193.24799999999999</v>
      </c>
      <c r="E53" s="65" t="s">
        <v>146</v>
      </c>
      <c r="G53" s="2" t="str">
        <f>IF($A$53 &lt;&gt; "",$A$53, "")</f>
        <v>MR9001</v>
      </c>
      <c r="H53" s="2">
        <f>IF($B$53 &lt;&gt; "",$B$53, "")</f>
        <v>9820.9509999999991</v>
      </c>
      <c r="I53" s="2">
        <f>IF($C$53 &lt;&gt; "",$C$53, "")</f>
        <v>5174.3100000000004</v>
      </c>
      <c r="J53" s="2">
        <f>IF($D$53 &lt;&gt; "",$D$53, "")</f>
        <v>193.24799999999999</v>
      </c>
      <c r="K53"/>
      <c r="L53"/>
      <c r="M53"/>
      <c r="N53">
        <f>$M$54-$M$52</f>
        <v>7.4565000000000055</v>
      </c>
      <c r="O53" s="56"/>
      <c r="P53">
        <f>SQRT(($K$54-$K$52)^2 +($L$54-$L$52)^2)</f>
        <v>217.97487621570178</v>
      </c>
      <c r="Q53"/>
      <c r="R53"/>
      <c r="S53"/>
      <c r="T53"/>
      <c r="U53"/>
      <c r="V53" s="156"/>
      <c r="W53" t="s">
        <v>87</v>
      </c>
      <c r="X53">
        <v>2</v>
      </c>
      <c r="Y53" s="147">
        <f>$O$89</f>
        <v>120.39318801652904</v>
      </c>
      <c r="Z53" s="202">
        <f>$X$23*($X$53/$X$61)+$Z$50</f>
        <v>-3.437499999625615E-5</v>
      </c>
      <c r="AA53" s="147">
        <f>$Y$53-$Z$53</f>
        <v>120.39322239152904</v>
      </c>
      <c r="AB53" s="147">
        <f>$P$90</f>
        <v>15.06019164884815</v>
      </c>
      <c r="AC53" s="124" t="s">
        <v>87</v>
      </c>
      <c r="AD53" s="124">
        <v>2</v>
      </c>
      <c r="AE53" s="147">
        <f>$AA$53</f>
        <v>120.39322239152904</v>
      </c>
      <c r="AF53" s="202">
        <f>$AD$23*($AD$53/$AD$61)+$AF$50</f>
        <v>2.8423295453983144E-3</v>
      </c>
      <c r="AG53" s="147">
        <f>$AE$53-$AF$53</f>
        <v>120.39038006198363</v>
      </c>
      <c r="AH53" s="147">
        <f>$AB$53</f>
        <v>15.06019164884815</v>
      </c>
      <c r="AI53"/>
      <c r="AJ53" t="s">
        <v>89</v>
      </c>
      <c r="AK53" s="147">
        <f>VLOOKUP($AJ$53,$AC$28:$AH$115,5,)</f>
        <v>121.25112479338858</v>
      </c>
      <c r="AL53" s="147">
        <f t="shared" si="0"/>
        <v>21.039688573027487</v>
      </c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 s="67" t="s">
        <v>75</v>
      </c>
      <c r="B54" s="64">
        <f>_xlfn.IFNA(INDEX(Table_INPUT_2D[X],MATCH(Table8[[#This Row],[UID]],Table_INPUT_2D[Unique ID],0)),"")</f>
        <v>10011.450000000001</v>
      </c>
      <c r="C54" s="64">
        <f>_xlfn.IFNA(INDEX(Table_INPUT_2D[Y],MATCH(Table8[[#This Row],[UID]],Table_INPUT_2D[Unique ID],0)),"")</f>
        <v>5068.37</v>
      </c>
      <c r="D54" s="64">
        <f>_xlfn.IFNA(INDEX(Table_INPUT_2D[Z],MATCH(Table8[[#This Row],[UID]],Table_INPUT_2D[Unique ID],0)),"")</f>
        <v>200.709</v>
      </c>
      <c r="E54" s="65" t="s">
        <v>171</v>
      </c>
      <c r="G54" s="2" t="str">
        <f>IF($A$54 &lt;&gt; "",$A$54, "")</f>
        <v>MR9012</v>
      </c>
      <c r="H54" s="2">
        <f>IF($B$54 &lt;&gt; "",$B$54, "")</f>
        <v>10011.450000000001</v>
      </c>
      <c r="I54" s="2">
        <f>IF($C$54 &lt;&gt; "",$C$54, "")</f>
        <v>5068.37</v>
      </c>
      <c r="J54" s="2">
        <f>IF($D$54 &lt;&gt; "",$D$54, "")</f>
        <v>200.709</v>
      </c>
      <c r="K54">
        <f>AVERAGE($H$54,$H$55)</f>
        <v>10011.449500000001</v>
      </c>
      <c r="L54">
        <f>AVERAGE($I$54,$I$55)</f>
        <v>5068.3690000000006</v>
      </c>
      <c r="M54">
        <f>AVERAGE($J$54,$J$55)</f>
        <v>200.7055</v>
      </c>
      <c r="N54"/>
      <c r="O54" s="56">
        <f>$O$80</f>
        <v>119.49018801652906</v>
      </c>
      <c r="P54"/>
      <c r="Q54"/>
      <c r="R54"/>
      <c r="S54"/>
      <c r="T54"/>
      <c r="U54"/>
      <c r="V54" s="156"/>
      <c r="W54" t="s">
        <v>88</v>
      </c>
      <c r="X54">
        <v>3</v>
      </c>
      <c r="Y54" s="147">
        <f>$O$91</f>
        <v>120.81818801652902</v>
      </c>
      <c r="Z54" s="202">
        <f>$X$23*($X$54/$X$61)+$Z$50</f>
        <v>-3.5937499996085975E-5</v>
      </c>
      <c r="AA54" s="147">
        <f>$Y$54-$Z$54</f>
        <v>120.81822395402902</v>
      </c>
      <c r="AB54" s="147">
        <f>$P$92</f>
        <v>17.809766997352771</v>
      </c>
      <c r="AC54" s="124" t="s">
        <v>88</v>
      </c>
      <c r="AD54" s="124">
        <v>3</v>
      </c>
      <c r="AE54" s="147">
        <f>$AA$54</f>
        <v>120.81822395402902</v>
      </c>
      <c r="AF54" s="202">
        <f>$AD$23*($AD$54/$AD$61)+$AF$50</f>
        <v>2.9715263429164196E-3</v>
      </c>
      <c r="AG54" s="147">
        <f>$AE$54-$AF$54</f>
        <v>120.8152524276861</v>
      </c>
      <c r="AH54" s="147">
        <f>$AB$54</f>
        <v>17.809766997352771</v>
      </c>
      <c r="AI54"/>
      <c r="AJ54" t="s">
        <v>90</v>
      </c>
      <c r="AK54" s="147">
        <f>VLOOKUP($AJ$54,$AC$28:$AH$115,5,)</f>
        <v>121.76149715909108</v>
      </c>
      <c r="AL54" s="147">
        <f t="shared" si="0"/>
        <v>21.113323121905907</v>
      </c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 s="67" t="s">
        <v>75</v>
      </c>
      <c r="B55" s="64">
        <f>_xlfn.IFNA(INDEX(Table_INPUT_2D[X],MATCH(Table8[[#This Row],[UID]],Table_INPUT_2D[Unique ID],0)),"")</f>
        <v>10011.449000000001</v>
      </c>
      <c r="C55" s="64">
        <f>_xlfn.IFNA(INDEX(Table_INPUT_2D[Y],MATCH(Table8[[#This Row],[UID]],Table_INPUT_2D[Unique ID],0)),"")</f>
        <v>5068.3680000000004</v>
      </c>
      <c r="D55" s="64">
        <f>_xlfn.IFNA(INDEX(Table_INPUT_2D[Z],MATCH(Table8[[#This Row],[UID]],Table_INPUT_2D[Unique ID],0)),"")</f>
        <v>200.702</v>
      </c>
      <c r="E55" s="65" t="s">
        <v>170</v>
      </c>
      <c r="G55" s="2" t="str">
        <f>IF($A$55 &lt;&gt; "",$A$55, "")</f>
        <v>MR9012</v>
      </c>
      <c r="H55" s="2">
        <f>IF($B$55 &lt;&gt; "",$B$55, "")</f>
        <v>10011.449000000001</v>
      </c>
      <c r="I55" s="2">
        <f>IF($C$55 &lt;&gt; "",$C$55, "")</f>
        <v>5068.3680000000004</v>
      </c>
      <c r="J55" s="2">
        <f>IF($D$55 &lt;&gt; "",$D$55, "")</f>
        <v>200.702</v>
      </c>
      <c r="K55"/>
      <c r="L55"/>
      <c r="M55"/>
      <c r="N55"/>
      <c r="O55" s="56"/>
      <c r="P55"/>
      <c r="Q55"/>
      <c r="R55"/>
      <c r="S55"/>
      <c r="T55"/>
      <c r="U55"/>
      <c r="V55" s="156"/>
      <c r="W55" t="s">
        <v>89</v>
      </c>
      <c r="X55">
        <v>4</v>
      </c>
      <c r="Y55" s="147">
        <f>$O$93</f>
        <v>121.25418801652903</v>
      </c>
      <c r="Z55" s="202">
        <f>$X$23*($X$55/$X$61)+$Z$50</f>
        <v>-3.74999999959158E-5</v>
      </c>
      <c r="AA55" s="147">
        <f>$Y$55-$Z$55</f>
        <v>121.25422551652902</v>
      </c>
      <c r="AB55" s="147">
        <f>$P$94</f>
        <v>21.039688573027487</v>
      </c>
      <c r="AC55" s="124" t="s">
        <v>89</v>
      </c>
      <c r="AD55" s="124">
        <v>4</v>
      </c>
      <c r="AE55" s="147">
        <f>$AA$55</f>
        <v>121.25422551652902</v>
      </c>
      <c r="AF55" s="202">
        <f>$AD$23*($AD$55/$AD$61)+$AF$50</f>
        <v>3.1007231404345248E-3</v>
      </c>
      <c r="AG55" s="147">
        <f>$AE$55-$AF$55</f>
        <v>121.25112479338858</v>
      </c>
      <c r="AH55" s="147">
        <f>$AB$55</f>
        <v>21.039688573027487</v>
      </c>
      <c r="AI55"/>
      <c r="AJ55" t="s">
        <v>91</v>
      </c>
      <c r="AK55" s="147">
        <f>VLOOKUP($AJ$55,$AC$28:$AH$115,5,)</f>
        <v>122.14686952479357</v>
      </c>
      <c r="AL55" s="147">
        <f t="shared" si="0"/>
        <v>17.941484693302574</v>
      </c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 s="63" t="s">
        <v>22</v>
      </c>
      <c r="B56" s="64" t="str">
        <f>_xlfn.IFNA(INDEX(Table_INPUT_2D[X],MATCH(Table8[[#This Row],[UID]],Table_INPUT_2D[Unique ID],0)),"")</f>
        <v/>
      </c>
      <c r="C56" s="64" t="str">
        <f>_xlfn.IFNA(INDEX(Table_INPUT_2D[Y],MATCH(Table8[[#This Row],[UID]],Table_INPUT_2D[Unique ID],0)),"")</f>
        <v/>
      </c>
      <c r="D56" s="64" t="str">
        <f>_xlfn.IFNA(INDEX(Table_INPUT_2D[Z],MATCH(Table8[[#This Row],[UID]],Table_INPUT_2D[Unique ID],0)),"")</f>
        <v/>
      </c>
      <c r="E56" s="65"/>
      <c r="G56" s="2" t="str">
        <f>IF($A$56 &lt;&gt; "",$A$56, "")</f>
        <v>STATION</v>
      </c>
      <c r="H56" s="2" t="str">
        <f>IF($B$56 &lt;&gt; "",$B$56, "")</f>
        <v/>
      </c>
      <c r="I56" s="2" t="str">
        <f>IF($C$56 &lt;&gt; "",$C$56, "")</f>
        <v/>
      </c>
      <c r="J56" s="2" t="str">
        <f>IF($D$56 &lt;&gt; "",$D$56, "")</f>
        <v/>
      </c>
      <c r="K56"/>
      <c r="L56"/>
      <c r="M56"/>
      <c r="N56"/>
      <c r="O56" s="56"/>
      <c r="P56"/>
      <c r="Q56"/>
      <c r="R56"/>
      <c r="S56"/>
      <c r="T56"/>
      <c r="U56"/>
      <c r="V56" s="156"/>
      <c r="W56" t="s">
        <v>90</v>
      </c>
      <c r="X56">
        <v>5</v>
      </c>
      <c r="Y56" s="147">
        <f>$O$95</f>
        <v>121.76468801652904</v>
      </c>
      <c r="Z56" s="202">
        <f>$X$23*($X$56/$X$61)+$Z$50</f>
        <v>-3.9062499995745625E-5</v>
      </c>
      <c r="AA56" s="147">
        <f>$Y$56-$Z$56</f>
        <v>121.76472707902903</v>
      </c>
      <c r="AB56" s="147">
        <f>$P$96</f>
        <v>21.113323121905907</v>
      </c>
      <c r="AC56" s="124" t="s">
        <v>90</v>
      </c>
      <c r="AD56" s="124">
        <v>5</v>
      </c>
      <c r="AE56" s="147">
        <f>$AA$56</f>
        <v>121.76472707902903</v>
      </c>
      <c r="AF56" s="202">
        <f>$AD$23*($AD$56/$AD$61)+$AF$50</f>
        <v>3.22991993795263E-3</v>
      </c>
      <c r="AG56" s="147">
        <f>$AE$56-$AF$56</f>
        <v>121.76149715909108</v>
      </c>
      <c r="AH56" s="147">
        <f>$AB$56</f>
        <v>21.113323121905907</v>
      </c>
      <c r="AI56"/>
      <c r="AJ56" t="s">
        <v>92</v>
      </c>
      <c r="AK56" s="147">
        <f>VLOOKUP($AJ$56,$AC$28:$AH$115,5,)</f>
        <v>122.46424189049603</v>
      </c>
      <c r="AL56" s="147">
        <f t="shared" si="0"/>
        <v>21.074421848533998</v>
      </c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 s="67" t="s">
        <v>75</v>
      </c>
      <c r="B57" s="64">
        <f>_xlfn.IFNA(INDEX(Table_INPUT_2D[X],MATCH(Table8[[#This Row],[UID]],Table_INPUT_2D[Unique ID],0)),"")</f>
        <v>10011.449000000001</v>
      </c>
      <c r="C57" s="64">
        <f>_xlfn.IFNA(INDEX(Table_INPUT_2D[Y],MATCH(Table8[[#This Row],[UID]],Table_INPUT_2D[Unique ID],0)),"")</f>
        <v>5068.3689999999997</v>
      </c>
      <c r="D57" s="64">
        <f>_xlfn.IFNA(INDEX(Table_INPUT_2D[Z],MATCH(Table8[[#This Row],[UID]],Table_INPUT_2D[Unique ID],0)),"")</f>
        <v>200.69</v>
      </c>
      <c r="E57" s="65" t="s">
        <v>172</v>
      </c>
      <c r="G57" s="2" t="str">
        <f>IF($A$57 &lt;&gt; "",$A$57, "")</f>
        <v>MR9012</v>
      </c>
      <c r="H57" s="2">
        <f>IF($B$57 &lt;&gt; "",$B$57, "")</f>
        <v>10011.449000000001</v>
      </c>
      <c r="I57" s="2">
        <f>IF($C$57 &lt;&gt; "",$C$57, "")</f>
        <v>5068.3689999999997</v>
      </c>
      <c r="J57" s="2">
        <f>IF($D$57 &lt;&gt; "",$D$57, "")</f>
        <v>200.69</v>
      </c>
      <c r="K57">
        <f>AVERAGE($H$57,$H$58)</f>
        <v>10011.450000000001</v>
      </c>
      <c r="L57">
        <f>AVERAGE($I$57,$I$58)</f>
        <v>5068.3705</v>
      </c>
      <c r="M57">
        <f>AVERAGE($J$57,$J$58)</f>
        <v>200.69049999999999</v>
      </c>
      <c r="N57"/>
      <c r="O57" s="56">
        <f>$O$49</f>
        <v>119.488688016529</v>
      </c>
      <c r="P57"/>
      <c r="Q57"/>
      <c r="R57"/>
      <c r="S57"/>
      <c r="T57"/>
      <c r="U57"/>
      <c r="V57" s="156"/>
      <c r="W57" t="s">
        <v>91</v>
      </c>
      <c r="X57">
        <v>6</v>
      </c>
      <c r="Y57" s="147">
        <f>$O$97</f>
        <v>122.15018801652904</v>
      </c>
      <c r="Z57" s="202">
        <f>$X$23*($X$57/$X$61)+$Z$50</f>
        <v>-4.062499999557545E-5</v>
      </c>
      <c r="AA57" s="147">
        <f>$Y$57-$Z$57</f>
        <v>122.15022864152904</v>
      </c>
      <c r="AB57" s="147">
        <f>$P$98</f>
        <v>17.941484693302574</v>
      </c>
      <c r="AC57" s="124" t="s">
        <v>91</v>
      </c>
      <c r="AD57" s="124">
        <v>6</v>
      </c>
      <c r="AE57" s="147">
        <f>$AA$57</f>
        <v>122.15022864152904</v>
      </c>
      <c r="AF57" s="202">
        <f>$AD$23*($AD$57/$AD$61)+$AF$50</f>
        <v>3.3591167354707352E-3</v>
      </c>
      <c r="AG57" s="147">
        <f>$AE$57-$AF$57</f>
        <v>122.14686952479357</v>
      </c>
      <c r="AH57" s="147">
        <f>$AB$57</f>
        <v>17.941484693302574</v>
      </c>
      <c r="AI57"/>
      <c r="AJ57" t="s">
        <v>93</v>
      </c>
      <c r="AK57" s="147">
        <f>VLOOKUP($AJ$57,$AC$28:$AH$115,5,)</f>
        <v>122.80461425619851</v>
      </c>
      <c r="AL57" s="147">
        <f t="shared" si="0"/>
        <v>17.931944958649193</v>
      </c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 s="67" t="s">
        <v>75</v>
      </c>
      <c r="B58" s="64">
        <f>_xlfn.IFNA(INDEX(Table_INPUT_2D[X],MATCH(Table8[[#This Row],[UID]],Table_INPUT_2D[Unique ID],0)),"")</f>
        <v>10011.450999999999</v>
      </c>
      <c r="C58" s="64">
        <f>_xlfn.IFNA(INDEX(Table_INPUT_2D[Y],MATCH(Table8[[#This Row],[UID]],Table_INPUT_2D[Unique ID],0)),"")</f>
        <v>5068.3720000000003</v>
      </c>
      <c r="D58" s="64">
        <f>_xlfn.IFNA(INDEX(Table_INPUT_2D[Z],MATCH(Table8[[#This Row],[UID]],Table_INPUT_2D[Unique ID],0)),"")</f>
        <v>200.691</v>
      </c>
      <c r="E58" s="65" t="s">
        <v>173</v>
      </c>
      <c r="G58" s="2" t="str">
        <f>IF($A$58 &lt;&gt; "",$A$58, "")</f>
        <v>MR9012</v>
      </c>
      <c r="H58" s="2">
        <f>IF($B$58 &lt;&gt; "",$B$58, "")</f>
        <v>10011.450999999999</v>
      </c>
      <c r="I58" s="2">
        <f>IF($C$58 &lt;&gt; "",$C$58, "")</f>
        <v>5068.3720000000003</v>
      </c>
      <c r="J58" s="2">
        <f>IF($D$58 &lt;&gt; "",$D$58, "")</f>
        <v>200.691</v>
      </c>
      <c r="K58"/>
      <c r="L58"/>
      <c r="M58"/>
      <c r="N58">
        <f>$M$59-$M$57</f>
        <v>0.3860000000000241</v>
      </c>
      <c r="O58" s="56"/>
      <c r="P58">
        <f>SQRT(($K$59-$K$57)^2 +($L$59-$L$57)^2)</f>
        <v>18.798610141443557</v>
      </c>
      <c r="Q58"/>
      <c r="R58"/>
      <c r="S58"/>
      <c r="T58"/>
      <c r="U58"/>
      <c r="V58" s="156"/>
      <c r="W58" t="s">
        <v>92</v>
      </c>
      <c r="X58">
        <v>7</v>
      </c>
      <c r="Y58" s="147">
        <f>$O$99</f>
        <v>122.46768801652901</v>
      </c>
      <c r="Z58" s="202">
        <f>$X$23*($X$58/$X$61)+$Z$50</f>
        <v>-4.2187499995405275E-5</v>
      </c>
      <c r="AA58" s="147">
        <f>$Y$58-$Z$58</f>
        <v>122.46773020402901</v>
      </c>
      <c r="AB58" s="147">
        <f>$P$100</f>
        <v>21.074421848533998</v>
      </c>
      <c r="AC58" s="124" t="s">
        <v>92</v>
      </c>
      <c r="AD58" s="124">
        <v>7</v>
      </c>
      <c r="AE58" s="147">
        <f>$AA$58</f>
        <v>122.46773020402901</v>
      </c>
      <c r="AF58" s="202">
        <f>$AD$23*($AD$58/$AD$61)+$AF$50</f>
        <v>3.4883135329888404E-3</v>
      </c>
      <c r="AG58" s="147">
        <f>$AE$58-$AF$58</f>
        <v>122.46424189049603</v>
      </c>
      <c r="AH58" s="147">
        <f>$AB$58</f>
        <v>21.074421848533998</v>
      </c>
      <c r="AI58"/>
      <c r="AJ58" t="s">
        <v>94</v>
      </c>
      <c r="AK58" s="147">
        <f>VLOOKUP($AJ$58,$AC$28:$AH$115,5,)</f>
        <v>122.98348662190099</v>
      </c>
      <c r="AL58" s="147">
        <f t="shared" si="0"/>
        <v>21.321615587238082</v>
      </c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 s="67" t="s">
        <v>76</v>
      </c>
      <c r="B59" s="64">
        <f>_xlfn.IFNA(INDEX(Table_INPUT_2D[X],MATCH(Table8[[#This Row],[UID]],Table_INPUT_2D[Unique ID],0)),"")</f>
        <v>10027.143</v>
      </c>
      <c r="C59" s="64">
        <f>_xlfn.IFNA(INDEX(Table_INPUT_2D[Y],MATCH(Table8[[#This Row],[UID]],Table_INPUT_2D[Unique ID],0)),"")</f>
        <v>5058.0209999999997</v>
      </c>
      <c r="D59" s="64">
        <f>_xlfn.IFNA(INDEX(Table_INPUT_2D[Z],MATCH(Table8[[#This Row],[UID]],Table_INPUT_2D[Unique ID],0)),"")</f>
        <v>201.077</v>
      </c>
      <c r="E59" s="65" t="s">
        <v>176</v>
      </c>
      <c r="G59" s="2" t="str">
        <f>IF($A$59 &lt;&gt; "",$A$59, "")</f>
        <v>MR9013</v>
      </c>
      <c r="H59" s="2">
        <f>IF($B$59 &lt;&gt; "",$B$59, "")</f>
        <v>10027.143</v>
      </c>
      <c r="I59" s="2">
        <f>IF($C$59 &lt;&gt; "",$C$59, "")</f>
        <v>5058.0209999999997</v>
      </c>
      <c r="J59" s="2">
        <f>IF($D$59 &lt;&gt; "",$D$59, "")</f>
        <v>201.077</v>
      </c>
      <c r="K59">
        <f>AVERAGE($H$59,$H$60)</f>
        <v>10027.1435</v>
      </c>
      <c r="L59">
        <f>AVERAGE($I$59,$I$60)</f>
        <v>5058.0214999999998</v>
      </c>
      <c r="M59">
        <f>AVERAGE($J$59,$J$60)</f>
        <v>201.07650000000001</v>
      </c>
      <c r="N59"/>
      <c r="O59" s="56">
        <f>$O$57+($N$58)</f>
        <v>119.87468801652902</v>
      </c>
      <c r="P59"/>
      <c r="Q59"/>
      <c r="R59"/>
      <c r="S59"/>
      <c r="T59"/>
      <c r="U59"/>
      <c r="V59" s="156"/>
      <c r="W59" t="s">
        <v>93</v>
      </c>
      <c r="X59">
        <v>8</v>
      </c>
      <c r="Y59" s="147">
        <f>$O$101</f>
        <v>122.80818801652903</v>
      </c>
      <c r="Z59" s="202">
        <f>$X$23*($X$59/$X$61)+$Z$50</f>
        <v>-4.37499999952351E-5</v>
      </c>
      <c r="AA59" s="147">
        <f>$Y$59-$Z$59</f>
        <v>122.80823176652902</v>
      </c>
      <c r="AB59" s="147">
        <f>$P$102</f>
        <v>17.931944958649193</v>
      </c>
      <c r="AC59" s="124" t="s">
        <v>93</v>
      </c>
      <c r="AD59" s="124">
        <v>8</v>
      </c>
      <c r="AE59" s="147">
        <f>$AA$59</f>
        <v>122.80823176652902</v>
      </c>
      <c r="AF59" s="202">
        <f>$AD$23*($AD$59/$AD$61)+$AF$50</f>
        <v>3.6175103305069456E-3</v>
      </c>
      <c r="AG59" s="147">
        <f>$AE$59-$AF$59</f>
        <v>122.80461425619851</v>
      </c>
      <c r="AH59" s="147">
        <f>$AB$59</f>
        <v>17.931944958649193</v>
      </c>
      <c r="AI59"/>
      <c r="AJ59" t="s">
        <v>95</v>
      </c>
      <c r="AK59" s="147">
        <f>VLOOKUP($AJ$59,$AC$28:$AH$115,5,)</f>
        <v>123.56785898760347</v>
      </c>
      <c r="AL59" s="147">
        <f t="shared" si="0"/>
        <v>20.743078809570417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 s="67" t="s">
        <v>76</v>
      </c>
      <c r="B60" s="64">
        <f>_xlfn.IFNA(INDEX(Table_INPUT_2D[X],MATCH(Table8[[#This Row],[UID]],Table_INPUT_2D[Unique ID],0)),"")</f>
        <v>10027.144</v>
      </c>
      <c r="C60" s="64">
        <f>_xlfn.IFNA(INDEX(Table_INPUT_2D[Y],MATCH(Table8[[#This Row],[UID]],Table_INPUT_2D[Unique ID],0)),"")</f>
        <v>5058.0219999999999</v>
      </c>
      <c r="D60" s="64">
        <f>_xlfn.IFNA(INDEX(Table_INPUT_2D[Z],MATCH(Table8[[#This Row],[UID]],Table_INPUT_2D[Unique ID],0)),"")</f>
        <v>201.07599999999999</v>
      </c>
      <c r="E60" s="65" t="s">
        <v>177</v>
      </c>
      <c r="G60" s="2" t="str">
        <f>IF($A$60 &lt;&gt; "",$A$60, "")</f>
        <v>MR9013</v>
      </c>
      <c r="H60" s="2">
        <f>IF($B$60 &lt;&gt; "",$B$60, "")</f>
        <v>10027.144</v>
      </c>
      <c r="I60" s="2">
        <f>IF($C$60 &lt;&gt; "",$C$60, "")</f>
        <v>5058.0219999999999</v>
      </c>
      <c r="J60" s="2">
        <f>IF($D$60 &lt;&gt; "",$D$60, "")</f>
        <v>201.07599999999999</v>
      </c>
      <c r="K60"/>
      <c r="L60"/>
      <c r="M60"/>
      <c r="N60">
        <f>$M$61-$M$59</f>
        <v>0.11149999999997817</v>
      </c>
      <c r="O60" s="56"/>
      <c r="P60">
        <f>SQRT(($K$61-$K$59)^2 +($L$61-$L$59)^2)</f>
        <v>21.348439755635397</v>
      </c>
      <c r="Q60"/>
      <c r="R60"/>
      <c r="S60"/>
      <c r="T60"/>
      <c r="U60"/>
      <c r="V60" s="156"/>
      <c r="W60" t="s">
        <v>94</v>
      </c>
      <c r="X60">
        <v>9</v>
      </c>
      <c r="Y60" s="147">
        <f>$O$103</f>
        <v>122.98718801652903</v>
      </c>
      <c r="Z60" s="202">
        <f>$X$23*($X$60/$X$61)+$Z$50</f>
        <v>-4.5312499995064925E-5</v>
      </c>
      <c r="AA60" s="147">
        <f>$Y$60-$Z$60</f>
        <v>122.98723332902902</v>
      </c>
      <c r="AB60" s="147">
        <f>$P$104</f>
        <v>21.321615587238082</v>
      </c>
      <c r="AC60" s="124" t="s">
        <v>94</v>
      </c>
      <c r="AD60" s="124">
        <v>9</v>
      </c>
      <c r="AE60" s="147">
        <f>$AA$60</f>
        <v>122.98723332902902</v>
      </c>
      <c r="AF60" s="202">
        <f>$AD$23*($AD$60/$AD$61)+$AF$50</f>
        <v>3.7467071280250508E-3</v>
      </c>
      <c r="AG60" s="147">
        <f>$AE$60-$AF$60</f>
        <v>122.98348662190099</v>
      </c>
      <c r="AH60" s="147">
        <f>$AB$60</f>
        <v>21.321615587238082</v>
      </c>
      <c r="AI60"/>
      <c r="AJ60" t="s">
        <v>96</v>
      </c>
      <c r="AK60" s="147">
        <f>VLOOKUP($AJ$60,$AC$28:$AH$115,5,)</f>
        <v>124.06823135330595</v>
      </c>
      <c r="AL60" s="147">
        <f t="shared" si="0"/>
        <v>17.926485217408885</v>
      </c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 s="67" t="s">
        <v>77</v>
      </c>
      <c r="B61" s="64">
        <f>_xlfn.IFNA(INDEX(Table_INPUT_2D[X],MATCH(Table8[[#This Row],[UID]],Table_INPUT_2D[Unique ID],0)),"")</f>
        <v>10044.197</v>
      </c>
      <c r="C61" s="64">
        <f>_xlfn.IFNA(INDEX(Table_INPUT_2D[Y],MATCH(Table8[[#This Row],[UID]],Table_INPUT_2D[Unique ID],0)),"")</f>
        <v>5045.1790000000001</v>
      </c>
      <c r="D61" s="64">
        <f>_xlfn.IFNA(INDEX(Table_INPUT_2D[Z],MATCH(Table8[[#This Row],[UID]],Table_INPUT_2D[Unique ID],0)),"")</f>
        <v>201.18700000000001</v>
      </c>
      <c r="E61" s="65" t="s">
        <v>178</v>
      </c>
      <c r="G61" s="2" t="str">
        <f>IF($A$61 &lt;&gt; "",$A$61, "")</f>
        <v>MR9014</v>
      </c>
      <c r="H61" s="2">
        <f>IF($B$61 &lt;&gt; "",$B$61, "")</f>
        <v>10044.197</v>
      </c>
      <c r="I61" s="2">
        <f>IF($C$61 &lt;&gt; "",$C$61, "")</f>
        <v>5045.1790000000001</v>
      </c>
      <c r="J61" s="2">
        <f>IF($D$61 &lt;&gt; "",$D$61, "")</f>
        <v>201.18700000000001</v>
      </c>
      <c r="K61">
        <f>AVERAGE($H$61,$H$62)</f>
        <v>10044.1975</v>
      </c>
      <c r="L61">
        <f>AVERAGE($I$61,$I$62)</f>
        <v>5045.1795000000002</v>
      </c>
      <c r="M61">
        <f>AVERAGE($J$61,$J$62)</f>
        <v>201.18799999999999</v>
      </c>
      <c r="N61"/>
      <c r="O61" s="56">
        <f>$O$59+($N$60)</f>
        <v>119.986188016529</v>
      </c>
      <c r="P61"/>
      <c r="Q61"/>
      <c r="R61"/>
      <c r="S61"/>
      <c r="T61"/>
      <c r="U61"/>
      <c r="V61" s="156"/>
      <c r="W61" t="s">
        <v>95</v>
      </c>
      <c r="X61">
        <v>10</v>
      </c>
      <c r="Y61" s="147">
        <f>$O$105</f>
        <v>123.57168801652902</v>
      </c>
      <c r="Z61" s="202">
        <f>$X$23*($X$61/$X$61)+$Z$50</f>
        <v>-4.687499999489475E-5</v>
      </c>
      <c r="AA61" s="147">
        <f>$Y$61-$Z$61</f>
        <v>123.57173489152902</v>
      </c>
      <c r="AB61" s="147">
        <f>$P$114</f>
        <v>20.743078809570417</v>
      </c>
      <c r="AC61" s="124" t="s">
        <v>95</v>
      </c>
      <c r="AD61" s="124">
        <v>10</v>
      </c>
      <c r="AE61" s="147">
        <f>$AA$61</f>
        <v>123.57173489152902</v>
      </c>
      <c r="AF61" s="202">
        <f>$AD$23*($AD$61/$AD$61)+$AF$50</f>
        <v>3.875903925543156E-3</v>
      </c>
      <c r="AG61" s="147">
        <f>$AE$61-$AF$61</f>
        <v>123.56785898760347</v>
      </c>
      <c r="AH61" s="147">
        <f>$AB$61</f>
        <v>20.743078809570417</v>
      </c>
      <c r="AI61"/>
      <c r="AJ61" t="s">
        <v>97</v>
      </c>
      <c r="AK61" s="147">
        <f>VLOOKUP($AJ$61,$AC$28:$AH$115,5,)</f>
        <v>124.41260371900844</v>
      </c>
      <c r="AL61" s="147">
        <f t="shared" si="0"/>
        <v>20.919158569359428</v>
      </c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 s="67" t="s">
        <v>77</v>
      </c>
      <c r="B62" s="64">
        <f>_xlfn.IFNA(INDEX(Table_INPUT_2D[X],MATCH(Table8[[#This Row],[UID]],Table_INPUT_2D[Unique ID],0)),"")</f>
        <v>10044.198</v>
      </c>
      <c r="C62" s="64">
        <f>_xlfn.IFNA(INDEX(Table_INPUT_2D[Y],MATCH(Table8[[#This Row],[UID]],Table_INPUT_2D[Unique ID],0)),"")</f>
        <v>5045.18</v>
      </c>
      <c r="D62" s="64">
        <f>_xlfn.IFNA(INDEX(Table_INPUT_2D[Z],MATCH(Table8[[#This Row],[UID]],Table_INPUT_2D[Unique ID],0)),"")</f>
        <v>201.18899999999999</v>
      </c>
      <c r="E62" s="65" t="s">
        <v>179</v>
      </c>
      <c r="G62" s="2" t="str">
        <f>IF($A$62 &lt;&gt; "",$A$62, "")</f>
        <v>MR9014</v>
      </c>
      <c r="H62" s="2">
        <f>IF($B$62 &lt;&gt; "",$B$62, "")</f>
        <v>10044.198</v>
      </c>
      <c r="I62" s="2">
        <f>IF($C$62 &lt;&gt; "",$C$62, "")</f>
        <v>5045.18</v>
      </c>
      <c r="J62" s="2">
        <f>IF($D$62 &lt;&gt; "",$D$62, "")</f>
        <v>201.18899999999999</v>
      </c>
      <c r="K62"/>
      <c r="L62"/>
      <c r="M62"/>
      <c r="N62">
        <f>$M$63-$M$61</f>
        <v>-0.17750000000000909</v>
      </c>
      <c r="O62" s="56"/>
      <c r="P62">
        <f>SQRT(($K$63-$K$61)^2 +($L$63-$L$61)^2)</f>
        <v>17.826817473962631</v>
      </c>
      <c r="Q62"/>
      <c r="R62"/>
      <c r="S62"/>
      <c r="T62"/>
      <c r="U62"/>
      <c r="V62" s="156"/>
      <c r="W62"/>
      <c r="X62"/>
      <c r="Y62" s="147"/>
      <c r="Z62" s="202"/>
      <c r="AA62" s="147"/>
      <c r="AB62" s="147"/>
      <c r="AC62" s="124"/>
      <c r="AD62" s="124"/>
      <c r="AE62" s="147"/>
      <c r="AF62" s="202"/>
      <c r="AG62" s="147"/>
      <c r="AH62" s="147"/>
      <c r="AI62"/>
      <c r="AJ62" t="s">
        <v>98</v>
      </c>
      <c r="AK62" s="147">
        <f>VLOOKUP($AJ$62,$AC$28:$AH$115,5,)</f>
        <v>124.8664760847109</v>
      </c>
      <c r="AL62" s="147">
        <f t="shared" si="0"/>
        <v>20.977588910549354</v>
      </c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 s="67" t="s">
        <v>78</v>
      </c>
      <c r="B63" s="64">
        <f>_xlfn.IFNA(INDEX(Table_INPUT_2D[X],MATCH(Table8[[#This Row],[UID]],Table_INPUT_2D[Unique ID],0)),"")</f>
        <v>10059.034</v>
      </c>
      <c r="C63" s="64">
        <f>_xlfn.IFNA(INDEX(Table_INPUT_2D[Y],MATCH(Table8[[#This Row],[UID]],Table_INPUT_2D[Unique ID],0)),"")</f>
        <v>5035.2960000000003</v>
      </c>
      <c r="D63" s="64">
        <f>_xlfn.IFNA(INDEX(Table_INPUT_2D[Z],MATCH(Table8[[#This Row],[UID]],Table_INPUT_2D[Unique ID],0)),"")</f>
        <v>201.01</v>
      </c>
      <c r="E63" s="65" t="s">
        <v>180</v>
      </c>
      <c r="G63" s="2" t="str">
        <f>IF($A$63 &lt;&gt; "",$A$63, "")</f>
        <v>MR9015</v>
      </c>
      <c r="H63" s="2">
        <f>IF($B$63 &lt;&gt; "",$B$63, "")</f>
        <v>10059.034</v>
      </c>
      <c r="I63" s="2">
        <f>IF($C$63 &lt;&gt; "",$C$63, "")</f>
        <v>5035.2960000000003</v>
      </c>
      <c r="J63" s="2">
        <f>IF($D$63 &lt;&gt; "",$D$63, "")</f>
        <v>201.01</v>
      </c>
      <c r="K63">
        <f>AVERAGE($H$63,$H$64)</f>
        <v>10059.034</v>
      </c>
      <c r="L63">
        <f>AVERAGE($I$63,$I$64)</f>
        <v>5035.2965000000004</v>
      </c>
      <c r="M63">
        <f>AVERAGE($J$63,$J$64)</f>
        <v>201.01049999999998</v>
      </c>
      <c r="N63"/>
      <c r="O63" s="56">
        <f>$O$61+($N$62)</f>
        <v>119.80868801652899</v>
      </c>
      <c r="P63"/>
      <c r="Q63"/>
      <c r="R63"/>
      <c r="S63"/>
      <c r="T63"/>
      <c r="U63"/>
      <c r="V63" s="156">
        <v>4</v>
      </c>
      <c r="W63" t="s">
        <v>96</v>
      </c>
      <c r="X63">
        <v>1</v>
      </c>
      <c r="Y63" s="147">
        <f>$O$115</f>
        <v>124.07218801652901</v>
      </c>
      <c r="Z63" s="202">
        <f>$X$23*($X$63/$X$72)+$Z$61</f>
        <v>-4.8437499994724575E-5</v>
      </c>
      <c r="AA63" s="147">
        <f>$Y$63-$Z$63</f>
        <v>124.07223645402901</v>
      </c>
      <c r="AB63" s="147">
        <f>$P$116</f>
        <v>17.926485217408885</v>
      </c>
      <c r="AC63" s="124" t="s">
        <v>96</v>
      </c>
      <c r="AD63" s="124">
        <v>1</v>
      </c>
      <c r="AE63" s="147">
        <f>$AA$63</f>
        <v>124.07223645402901</v>
      </c>
      <c r="AF63" s="202">
        <f>$AD$23*($AD$63/$AD$72)+$AF$61</f>
        <v>4.0051007230612612E-3</v>
      </c>
      <c r="AG63" s="147">
        <f>$AE$63-$AF$63</f>
        <v>124.06823135330595</v>
      </c>
      <c r="AH63" s="147">
        <f>$AB$63</f>
        <v>17.926485217408885</v>
      </c>
      <c r="AI63"/>
      <c r="AJ63" t="s">
        <v>99</v>
      </c>
      <c r="AK63" s="147">
        <f>VLOOKUP($AJ$63,$AC$28:$AH$115,5,)</f>
        <v>125.13434845041341</v>
      </c>
      <c r="AL63" s="147">
        <f t="shared" si="0"/>
        <v>18.180898802038751</v>
      </c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 s="67" t="s">
        <v>78</v>
      </c>
      <c r="B64" s="64">
        <f>_xlfn.IFNA(INDEX(Table_INPUT_2D[X],MATCH(Table8[[#This Row],[UID]],Table_INPUT_2D[Unique ID],0)),"")</f>
        <v>10059.034</v>
      </c>
      <c r="C64" s="64">
        <f>_xlfn.IFNA(INDEX(Table_INPUT_2D[Y],MATCH(Table8[[#This Row],[UID]],Table_INPUT_2D[Unique ID],0)),"")</f>
        <v>5035.2969999999996</v>
      </c>
      <c r="D64" s="64">
        <f>_xlfn.IFNA(INDEX(Table_INPUT_2D[Z],MATCH(Table8[[#This Row],[UID]],Table_INPUT_2D[Unique ID],0)),"")</f>
        <v>201.011</v>
      </c>
      <c r="E64" s="65" t="s">
        <v>181</v>
      </c>
      <c r="G64" s="2" t="str">
        <f>IF($A$64 &lt;&gt; "",$A$64, "")</f>
        <v>MR9015</v>
      </c>
      <c r="H64" s="2">
        <f>IF($B$64 &lt;&gt; "",$B$64, "")</f>
        <v>10059.034</v>
      </c>
      <c r="I64" s="2">
        <f>IF($C$64 &lt;&gt; "",$C$64, "")</f>
        <v>5035.2969999999996</v>
      </c>
      <c r="J64" s="2">
        <f>IF($D$64 &lt;&gt; "",$D$64, "")</f>
        <v>201.011</v>
      </c>
      <c r="K64"/>
      <c r="L64"/>
      <c r="M64"/>
      <c r="N64">
        <f>$M$65-$M$63</f>
        <v>-0.38749999999998863</v>
      </c>
      <c r="O64" s="56"/>
      <c r="P64">
        <f>SQRT(($K$65-$K$63)^2 +($L$65-$L$63)^2)</f>
        <v>21.31730532337545</v>
      </c>
      <c r="Q64"/>
      <c r="R64"/>
      <c r="S64"/>
      <c r="T64"/>
      <c r="U64"/>
      <c r="V64" s="156"/>
      <c r="W64" t="s">
        <v>97</v>
      </c>
      <c r="X64">
        <v>2</v>
      </c>
      <c r="Y64" s="147">
        <f>$O$117</f>
        <v>124.41668801652902</v>
      </c>
      <c r="Z64" s="202">
        <f>$X$23*($X$64/$X$72)+$Z$61</f>
        <v>-4.99999999945544E-5</v>
      </c>
      <c r="AA64" s="147">
        <f>$Y$64-$Z$64</f>
        <v>124.41673801652902</v>
      </c>
      <c r="AB64" s="147">
        <f>$P$118</f>
        <v>20.919158569359428</v>
      </c>
      <c r="AC64" s="124" t="s">
        <v>97</v>
      </c>
      <c r="AD64" s="124">
        <v>2</v>
      </c>
      <c r="AE64" s="147">
        <f>$AA$64</f>
        <v>124.41673801652902</v>
      </c>
      <c r="AF64" s="202">
        <f>$AD$23*($AD$64/$AD$72)+$AF$61</f>
        <v>4.1342975205793664E-3</v>
      </c>
      <c r="AG64" s="147">
        <f>$AE$64-$AF$64</f>
        <v>124.41260371900844</v>
      </c>
      <c r="AH64" s="147">
        <f>$AB$64</f>
        <v>20.919158569359428</v>
      </c>
      <c r="AI64"/>
      <c r="AJ64" t="s">
        <v>100</v>
      </c>
      <c r="AK64" s="147">
        <f>VLOOKUP($AJ$64,$AC$28:$AH$115,5,)</f>
        <v>125.63922081611589</v>
      </c>
      <c r="AL64" s="147">
        <f t="shared" si="0"/>
        <v>20.783578499624507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 s="67" t="s">
        <v>79</v>
      </c>
      <c r="B65" s="64">
        <f>_xlfn.IFNA(INDEX(Table_INPUT_2D[X],MATCH(Table8[[#This Row],[UID]],Table_INPUT_2D[Unique ID],0)),"")</f>
        <v>10076.936</v>
      </c>
      <c r="C65" s="64">
        <f>_xlfn.IFNA(INDEX(Table_INPUT_2D[Y],MATCH(Table8[[#This Row],[UID]],Table_INPUT_2D[Unique ID],0)),"")</f>
        <v>5023.723</v>
      </c>
      <c r="D65" s="64">
        <f>_xlfn.IFNA(INDEX(Table_INPUT_2D[Z],MATCH(Table8[[#This Row],[UID]],Table_INPUT_2D[Unique ID],0)),"")</f>
        <v>200.62299999999999</v>
      </c>
      <c r="E65" s="65" t="s">
        <v>182</v>
      </c>
      <c r="G65" s="2" t="str">
        <f>IF($A$65 &lt;&gt; "",$A$65, "")</f>
        <v>MR9016</v>
      </c>
      <c r="H65" s="2">
        <f>IF($B$65 &lt;&gt; "",$B$65, "")</f>
        <v>10076.936</v>
      </c>
      <c r="I65" s="2">
        <f>IF($C$65 &lt;&gt; "",$C$65, "")</f>
        <v>5023.723</v>
      </c>
      <c r="J65" s="2">
        <f>IF($D$65 &lt;&gt; "",$D$65, "")</f>
        <v>200.62299999999999</v>
      </c>
      <c r="K65">
        <f>AVERAGE($H$65,$H$66)</f>
        <v>10076.936</v>
      </c>
      <c r="L65">
        <f>AVERAGE($I$65,$I$66)</f>
        <v>5023.723</v>
      </c>
      <c r="M65">
        <f>AVERAGE($J$65,$J$66)</f>
        <v>200.62299999999999</v>
      </c>
      <c r="N65"/>
      <c r="O65" s="56">
        <f>$O$63+($N$64)</f>
        <v>119.421188016529</v>
      </c>
      <c r="P65"/>
      <c r="Q65"/>
      <c r="R65"/>
      <c r="S65"/>
      <c r="T65"/>
      <c r="U65"/>
      <c r="V65" s="156"/>
      <c r="W65" t="s">
        <v>98</v>
      </c>
      <c r="X65">
        <v>3</v>
      </c>
      <c r="Y65" s="147">
        <f>$O$119</f>
        <v>124.870688016529</v>
      </c>
      <c r="Z65" s="202">
        <f>$X$23*($X$65/$X$72)+$Z$61</f>
        <v>-5.1562499994384225E-5</v>
      </c>
      <c r="AA65" s="147">
        <f>$Y$65-$Z$65</f>
        <v>124.87073957902899</v>
      </c>
      <c r="AB65" s="147">
        <f>$P$120</f>
        <v>20.977588910549354</v>
      </c>
      <c r="AC65" s="124" t="s">
        <v>98</v>
      </c>
      <c r="AD65" s="124">
        <v>3</v>
      </c>
      <c r="AE65" s="147">
        <f>$AA$65</f>
        <v>124.87073957902899</v>
      </c>
      <c r="AF65" s="202">
        <f>$AD$23*($AD$65/$AD$72)+$AF$61</f>
        <v>4.2634943180974716E-3</v>
      </c>
      <c r="AG65" s="147">
        <f>$AE$65-$AF$65</f>
        <v>124.8664760847109</v>
      </c>
      <c r="AH65" s="147">
        <f>$AB$65</f>
        <v>20.977588910549354</v>
      </c>
      <c r="AI65"/>
      <c r="AJ65" t="s">
        <v>101</v>
      </c>
      <c r="AK65" s="147">
        <f>VLOOKUP($AJ$65,$AC$28:$AH$115,5,)</f>
        <v>126.46859318181836</v>
      </c>
      <c r="AL65" s="147">
        <f t="shared" si="0"/>
        <v>20.724628012342066</v>
      </c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 s="67" t="s">
        <v>79</v>
      </c>
      <c r="B66" s="64">
        <f>_xlfn.IFNA(INDEX(Table_INPUT_2D[X],MATCH(Table8[[#This Row],[UID]],Table_INPUT_2D[Unique ID],0)),"")</f>
        <v>10076.936</v>
      </c>
      <c r="C66" s="64">
        <f>_xlfn.IFNA(INDEX(Table_INPUT_2D[Y],MATCH(Table8[[#This Row],[UID]],Table_INPUT_2D[Unique ID],0)),"")</f>
        <v>5023.723</v>
      </c>
      <c r="D66" s="64">
        <f>_xlfn.IFNA(INDEX(Table_INPUT_2D[Z],MATCH(Table8[[#This Row],[UID]],Table_INPUT_2D[Unique ID],0)),"")</f>
        <v>200.62299999999999</v>
      </c>
      <c r="E66" s="65" t="s">
        <v>183</v>
      </c>
      <c r="G66" s="2" t="str">
        <f>IF($A$66 &lt;&gt; "",$A$66, "")</f>
        <v>MR9016</v>
      </c>
      <c r="H66" s="2">
        <f>IF($B$66 &lt;&gt; "",$B$66, "")</f>
        <v>10076.936</v>
      </c>
      <c r="I66" s="2">
        <f>IF($C$66 &lt;&gt; "",$C$66, "")</f>
        <v>5023.723</v>
      </c>
      <c r="J66" s="2">
        <f>IF($D$66 &lt;&gt; "",$D$66, "")</f>
        <v>200.62299999999999</v>
      </c>
      <c r="K66"/>
      <c r="L66"/>
      <c r="M66"/>
      <c r="N66">
        <f>$M$67-$M$65</f>
        <v>-0.3049999999999784</v>
      </c>
      <c r="O66" s="56"/>
      <c r="P66">
        <f>SQRT(($K$67-$K$65)^2 +($L$67-$L$65)^2)</f>
        <v>18.131536862605451</v>
      </c>
      <c r="Q66"/>
      <c r="R66"/>
      <c r="S66"/>
      <c r="T66"/>
      <c r="U66"/>
      <c r="V66" s="156"/>
      <c r="W66" t="s">
        <v>99</v>
      </c>
      <c r="X66">
        <v>4</v>
      </c>
      <c r="Y66" s="147">
        <f>$O$121</f>
        <v>125.13868801652903</v>
      </c>
      <c r="Z66" s="202">
        <f>$X$23*($X$66/$X$72)+$Z$61</f>
        <v>-5.3124999994214051E-5</v>
      </c>
      <c r="AA66" s="147">
        <f>$Y$66-$Z$66</f>
        <v>125.13874114152902</v>
      </c>
      <c r="AB66" s="147">
        <f>$P$122</f>
        <v>18.180898802038751</v>
      </c>
      <c r="AC66" s="124" t="s">
        <v>99</v>
      </c>
      <c r="AD66" s="124">
        <v>4</v>
      </c>
      <c r="AE66" s="147">
        <f>$AA$66</f>
        <v>125.13874114152902</v>
      </c>
      <c r="AF66" s="202">
        <f>$AD$23*($AD$66/$AD$72)+$AF$61</f>
        <v>4.3926911156155768E-3</v>
      </c>
      <c r="AG66" s="147">
        <f>$AE$66-$AF$66</f>
        <v>125.13434845041341</v>
      </c>
      <c r="AH66" s="147">
        <f>$AB$66</f>
        <v>18.180898802038751</v>
      </c>
      <c r="AI66"/>
      <c r="AJ66" t="s">
        <v>102</v>
      </c>
      <c r="AK66" s="147">
        <f>VLOOKUP($AJ$66,$AC$28:$AH$115,5,)</f>
        <v>126.96696554752081</v>
      </c>
      <c r="AL66" s="147">
        <f t="shared" si="0"/>
        <v>17.910021810427693</v>
      </c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 s="67" t="s">
        <v>80</v>
      </c>
      <c r="B67" s="64">
        <f>_xlfn.IFNA(INDEX(Table_INPUT_2D[X],MATCH(Table8[[#This Row],[UID]],Table_INPUT_2D[Unique ID],0)),"")</f>
        <v>10092.966</v>
      </c>
      <c r="C67" s="64">
        <f>_xlfn.IFNA(INDEX(Table_INPUT_2D[Y],MATCH(Table8[[#This Row],[UID]],Table_INPUT_2D[Unique ID],0)),"")</f>
        <v>5015.25</v>
      </c>
      <c r="D67" s="64">
        <f>_xlfn.IFNA(INDEX(Table_INPUT_2D[Z],MATCH(Table8[[#This Row],[UID]],Table_INPUT_2D[Unique ID],0)),"")</f>
        <v>200.31800000000001</v>
      </c>
      <c r="E67" s="65" t="s">
        <v>184</v>
      </c>
      <c r="G67" s="2" t="str">
        <f>IF($A$67 &lt;&gt; "",$A$67, "")</f>
        <v>MR9017</v>
      </c>
      <c r="H67" s="2">
        <f>IF($B$67 &lt;&gt; "",$B$67, "")</f>
        <v>10092.966</v>
      </c>
      <c r="I67" s="2">
        <f>IF($C$67 &lt;&gt; "",$C$67, "")</f>
        <v>5015.25</v>
      </c>
      <c r="J67" s="2">
        <f>IF($D$67 &lt;&gt; "",$D$67, "")</f>
        <v>200.31800000000001</v>
      </c>
      <c r="K67">
        <f>AVERAGE($H$67,$H$68)</f>
        <v>10092.966</v>
      </c>
      <c r="L67">
        <f>AVERAGE($I$67,$I$68)</f>
        <v>5015.25</v>
      </c>
      <c r="M67">
        <f>AVERAGE($J$67,$J$68)</f>
        <v>200.31800000000001</v>
      </c>
      <c r="N67"/>
      <c r="O67" s="56">
        <f>$O$65+($N$66)</f>
        <v>119.11618801652902</v>
      </c>
      <c r="P67"/>
      <c r="Q67"/>
      <c r="R67"/>
      <c r="S67"/>
      <c r="T67"/>
      <c r="U67"/>
      <c r="V67" s="156"/>
      <c r="W67" t="s">
        <v>100</v>
      </c>
      <c r="X67">
        <v>5</v>
      </c>
      <c r="Y67" s="147">
        <f>$O$123</f>
        <v>125.64368801652903</v>
      </c>
      <c r="Z67" s="202">
        <f>$X$23*($X$67/$X$72)+$Z$61</f>
        <v>-5.4687499994043876E-5</v>
      </c>
      <c r="AA67" s="147">
        <f>$Y$67-$Z$67</f>
        <v>125.64374270402902</v>
      </c>
      <c r="AB67" s="147">
        <f>$P$124</f>
        <v>20.783578499624507</v>
      </c>
      <c r="AC67" s="124" t="s">
        <v>100</v>
      </c>
      <c r="AD67" s="124">
        <v>5</v>
      </c>
      <c r="AE67" s="147">
        <f>$AA$67</f>
        <v>125.64374270402902</v>
      </c>
      <c r="AF67" s="202">
        <f>$AD$23*($AD$67/$AD$72)+$AF$61</f>
        <v>4.521887913133682E-3</v>
      </c>
      <c r="AG67" s="147">
        <f>$AE$67-$AF$67</f>
        <v>125.63922081611589</v>
      </c>
      <c r="AH67" s="147">
        <f>$AB$67</f>
        <v>20.783578499624507</v>
      </c>
      <c r="AI67"/>
      <c r="AJ67" t="s">
        <v>103</v>
      </c>
      <c r="AK67" s="147">
        <f>VLOOKUP($AJ$67,$AC$28:$AH$115,5,)</f>
        <v>127.34533791322333</v>
      </c>
      <c r="AL67" s="147">
        <f t="shared" si="0"/>
        <v>20.862158960664473</v>
      </c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 s="67" t="s">
        <v>80</v>
      </c>
      <c r="B68" s="64">
        <f>_xlfn.IFNA(INDEX(Table_INPUT_2D[X],MATCH(Table8[[#This Row],[UID]],Table_INPUT_2D[Unique ID],0)),"")</f>
        <v>10092.966</v>
      </c>
      <c r="C68" s="64">
        <f>_xlfn.IFNA(INDEX(Table_INPUT_2D[Y],MATCH(Table8[[#This Row],[UID]],Table_INPUT_2D[Unique ID],0)),"")</f>
        <v>5015.25</v>
      </c>
      <c r="D68" s="64">
        <f>_xlfn.IFNA(INDEX(Table_INPUT_2D[Z],MATCH(Table8[[#This Row],[UID]],Table_INPUT_2D[Unique ID],0)),"")</f>
        <v>200.31800000000001</v>
      </c>
      <c r="E68" s="65" t="s">
        <v>185</v>
      </c>
      <c r="G68" s="2" t="str">
        <f>IF($A$68 &lt;&gt; "",$A$68, "")</f>
        <v>MR9017</v>
      </c>
      <c r="H68" s="2">
        <f>IF($B$68 &lt;&gt; "",$B$68, "")</f>
        <v>10092.966</v>
      </c>
      <c r="I68" s="2">
        <f>IF($C$68 &lt;&gt; "",$C$68, "")</f>
        <v>5015.25</v>
      </c>
      <c r="J68" s="2">
        <f>IF($D$68 &lt;&gt; "",$D$68, "")</f>
        <v>200.31800000000001</v>
      </c>
      <c r="K68"/>
      <c r="L68"/>
      <c r="M68"/>
      <c r="N68">
        <f>$M$69-$M$67</f>
        <v>-5.8500000000009322E-2</v>
      </c>
      <c r="O68" s="56"/>
      <c r="P68">
        <f>SQRT(($K$69-$K$67)^2 +($L$69-$L$67)^2)</f>
        <v>20.98883846833786</v>
      </c>
      <c r="Q68"/>
      <c r="R68"/>
      <c r="S68"/>
      <c r="T68"/>
      <c r="U68"/>
      <c r="V68" s="156"/>
      <c r="W68" t="s">
        <v>101</v>
      </c>
      <c r="X68">
        <v>6</v>
      </c>
      <c r="Y68" s="147">
        <f>$O$125</f>
        <v>126.47318801652902</v>
      </c>
      <c r="Z68" s="202">
        <f>$X$23*($X$68/$X$72)+$Z$61</f>
        <v>-5.6249999993873701E-5</v>
      </c>
      <c r="AA68" s="147">
        <f>$Y$68-$Z$68</f>
        <v>126.47324426652902</v>
      </c>
      <c r="AB68" s="147">
        <f>$P$126</f>
        <v>20.724628012342066</v>
      </c>
      <c r="AC68" s="124" t="s">
        <v>101</v>
      </c>
      <c r="AD68" s="124">
        <v>6</v>
      </c>
      <c r="AE68" s="147">
        <f>$AA$68</f>
        <v>126.47324426652902</v>
      </c>
      <c r="AF68" s="202">
        <f>$AD$23*($AD$68/$AD$72)+$AF$61</f>
        <v>4.6510847106517872E-3</v>
      </c>
      <c r="AG68" s="147">
        <f>$AE$68-$AF$68</f>
        <v>126.46859318181836</v>
      </c>
      <c r="AH68" s="147">
        <f>$AB$68</f>
        <v>20.724628012342066</v>
      </c>
      <c r="AI68"/>
      <c r="AJ68" t="s">
        <v>104</v>
      </c>
      <c r="AK68" s="147">
        <f>VLOOKUP($AJ$68,$AC$28:$AH$115,5,)</f>
        <v>127.61671027892579</v>
      </c>
      <c r="AL68" s="147">
        <f t="shared" si="0"/>
        <v>20.602764043933501</v>
      </c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 s="67" t="s">
        <v>81</v>
      </c>
      <c r="B69" s="64">
        <f>_xlfn.IFNA(INDEX(Table_INPUT_2D[X],MATCH(Table8[[#This Row],[UID]],Table_INPUT_2D[Unique ID],0)),"")</f>
        <v>10112.696</v>
      </c>
      <c r="C69" s="64">
        <f>_xlfn.IFNA(INDEX(Table_INPUT_2D[Y],MATCH(Table8[[#This Row],[UID]],Table_INPUT_2D[Unique ID],0)),"")</f>
        <v>5008.09</v>
      </c>
      <c r="D69" s="64">
        <f>_xlfn.IFNA(INDEX(Table_INPUT_2D[Z],MATCH(Table8[[#This Row],[UID]],Table_INPUT_2D[Unique ID],0)),"")</f>
        <v>200.25899999999999</v>
      </c>
      <c r="E69" s="65" t="s">
        <v>186</v>
      </c>
      <c r="G69" s="2" t="str">
        <f>IF($A$69 &lt;&gt; "",$A$69, "")</f>
        <v>MR9018</v>
      </c>
      <c r="H69" s="2">
        <f>IF($B$69 &lt;&gt; "",$B$69, "")</f>
        <v>10112.696</v>
      </c>
      <c r="I69" s="2">
        <f>IF($C$69 &lt;&gt; "",$C$69, "")</f>
        <v>5008.09</v>
      </c>
      <c r="J69" s="2">
        <f>IF($D$69 &lt;&gt; "",$D$69, "")</f>
        <v>200.25899999999999</v>
      </c>
      <c r="K69">
        <f>AVERAGE($H$69,$H$70)</f>
        <v>10112.696</v>
      </c>
      <c r="L69">
        <f>AVERAGE($I$69,$I$70)</f>
        <v>5008.0905000000002</v>
      </c>
      <c r="M69">
        <f>AVERAGE($J$69,$J$70)</f>
        <v>200.2595</v>
      </c>
      <c r="N69"/>
      <c r="O69" s="56">
        <f>$O$67+($N$68)</f>
        <v>119.05768801652901</v>
      </c>
      <c r="P69"/>
      <c r="Q69"/>
      <c r="R69"/>
      <c r="S69"/>
      <c r="T69"/>
      <c r="U69"/>
      <c r="V69" s="156"/>
      <c r="W69" t="s">
        <v>102</v>
      </c>
      <c r="X69">
        <v>7</v>
      </c>
      <c r="Y69" s="147">
        <f>$O$127</f>
        <v>126.971688016529</v>
      </c>
      <c r="Z69" s="202">
        <f>$X$23*($X$69/$X$72)+$Z$61</f>
        <v>-5.7812499993703526E-5</v>
      </c>
      <c r="AA69" s="147">
        <f>$Y$69-$Z$69</f>
        <v>126.97174582902899</v>
      </c>
      <c r="AB69" s="147">
        <f>$P$128</f>
        <v>17.910021810427693</v>
      </c>
      <c r="AC69" s="124" t="s">
        <v>102</v>
      </c>
      <c r="AD69" s="124">
        <v>7</v>
      </c>
      <c r="AE69" s="147">
        <f>$AA$69</f>
        <v>126.97174582902899</v>
      </c>
      <c r="AF69" s="202">
        <f>$AD$23*($AD$69/$AD$72)+$AF$61</f>
        <v>4.7802815081698924E-3</v>
      </c>
      <c r="AG69" s="147">
        <f>$AE$69-$AF$69</f>
        <v>126.96696554752081</v>
      </c>
      <c r="AH69" s="147">
        <f>$AB$69</f>
        <v>17.910021810427693</v>
      </c>
      <c r="AI69"/>
      <c r="AJ69" t="s">
        <v>105</v>
      </c>
      <c r="AK69" s="147">
        <f>VLOOKUP($AJ$69,$AC$28:$AH$115,5,)</f>
        <v>128.15958264462824</v>
      </c>
      <c r="AL69" s="147">
        <f t="shared" si="0"/>
        <v>20.692035164526214</v>
      </c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 s="67" t="s">
        <v>81</v>
      </c>
      <c r="B70" s="64">
        <f>_xlfn.IFNA(INDEX(Table_INPUT_2D[X],MATCH(Table8[[#This Row],[UID]],Table_INPUT_2D[Unique ID],0)),"")</f>
        <v>10112.696</v>
      </c>
      <c r="C70" s="64">
        <f>_xlfn.IFNA(INDEX(Table_INPUT_2D[Y],MATCH(Table8[[#This Row],[UID]],Table_INPUT_2D[Unique ID],0)),"")</f>
        <v>5008.0910000000003</v>
      </c>
      <c r="D70" s="64">
        <f>_xlfn.IFNA(INDEX(Table_INPUT_2D[Z],MATCH(Table8[[#This Row],[UID]],Table_INPUT_2D[Unique ID],0)),"")</f>
        <v>200.26</v>
      </c>
      <c r="E70" s="65" t="s">
        <v>187</v>
      </c>
      <c r="G70" s="2" t="str">
        <f>IF($A$70 &lt;&gt; "",$A$70, "")</f>
        <v>MR9018</v>
      </c>
      <c r="H70" s="2">
        <f>IF($B$70 &lt;&gt; "",$B$70, "")</f>
        <v>10112.696</v>
      </c>
      <c r="I70" s="2">
        <f>IF($C$70 &lt;&gt; "",$C$70, "")</f>
        <v>5008.0910000000003</v>
      </c>
      <c r="J70" s="2">
        <f>IF($D$70 &lt;&gt; "",$D$70, "")</f>
        <v>200.26</v>
      </c>
      <c r="K70"/>
      <c r="L70"/>
      <c r="M70"/>
      <c r="N70">
        <f>$M$71-$M$69</f>
        <v>6.7999999999983629E-2</v>
      </c>
      <c r="O70" s="56"/>
      <c r="P70">
        <f>SQRT(($K$71-$K$69)^2 +($L$71-$L$69)^2)</f>
        <v>20.916837434230668</v>
      </c>
      <c r="Q70"/>
      <c r="R70"/>
      <c r="S70"/>
      <c r="T70"/>
      <c r="U70"/>
      <c r="V70" s="156"/>
      <c r="W70" t="s">
        <v>103</v>
      </c>
      <c r="X70">
        <v>8</v>
      </c>
      <c r="Y70" s="147">
        <f>$O$129</f>
        <v>127.35018801652903</v>
      </c>
      <c r="Z70" s="202">
        <f>$X$23*($X$70/$X$72)+$Z$61</f>
        <v>-5.9374999993533351E-5</v>
      </c>
      <c r="AA70" s="147">
        <f>$Y$70-$Z$70</f>
        <v>127.35024739152902</v>
      </c>
      <c r="AB70" s="147">
        <f>$P$130</f>
        <v>20.862158960664473</v>
      </c>
      <c r="AC70" s="124" t="s">
        <v>103</v>
      </c>
      <c r="AD70" s="124">
        <v>8</v>
      </c>
      <c r="AE70" s="147">
        <f>$AA$70</f>
        <v>127.35024739152902</v>
      </c>
      <c r="AF70" s="202">
        <f>$AD$23*($AD$70/$AD$72)+$AF$61</f>
        <v>4.9094783056879976E-3</v>
      </c>
      <c r="AG70" s="147">
        <f>$AE$70-$AF$70</f>
        <v>127.34533791322333</v>
      </c>
      <c r="AH70" s="147">
        <f>$AB$70</f>
        <v>20.862158960664473</v>
      </c>
      <c r="AI70"/>
      <c r="AJ70" t="s">
        <v>106</v>
      </c>
      <c r="AK70" s="147">
        <f>VLOOKUP($AJ$70,$AC$28:$AH$115,5,)</f>
        <v>128.82345501033078</v>
      </c>
      <c r="AL70" s="147">
        <f t="shared" si="0"/>
        <v>17.994481716627082</v>
      </c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 s="67" t="s">
        <v>82</v>
      </c>
      <c r="B71" s="64">
        <f>_xlfn.IFNA(INDEX(Table_INPUT_2D[X],MATCH(Table8[[#This Row],[UID]],Table_INPUT_2D[Unique ID],0)),"")</f>
        <v>10132.388000000001</v>
      </c>
      <c r="C71" s="64">
        <f>_xlfn.IFNA(INDEX(Table_INPUT_2D[Y],MATCH(Table8[[#This Row],[UID]],Table_INPUT_2D[Unique ID],0)),"")</f>
        <v>5001.0370000000003</v>
      </c>
      <c r="D71" s="64">
        <f>_xlfn.IFNA(INDEX(Table_INPUT_2D[Z],MATCH(Table8[[#This Row],[UID]],Table_INPUT_2D[Unique ID],0)),"")</f>
        <v>200.328</v>
      </c>
      <c r="E71" s="65" t="s">
        <v>188</v>
      </c>
      <c r="G71" s="2" t="str">
        <f>IF($A$71 &lt;&gt; "",$A$71, "")</f>
        <v>MR9019</v>
      </c>
      <c r="H71" s="2">
        <f>IF($B$71 &lt;&gt; "",$B$71, "")</f>
        <v>10132.388000000001</v>
      </c>
      <c r="I71" s="2">
        <f>IF($C$71 &lt;&gt; "",$C$71, "")</f>
        <v>5001.0370000000003</v>
      </c>
      <c r="J71" s="2">
        <f>IF($D$71 &lt;&gt; "",$D$71, "")</f>
        <v>200.328</v>
      </c>
      <c r="K71">
        <f>AVERAGE($H$71,$H$72)</f>
        <v>10132.387500000001</v>
      </c>
      <c r="L71">
        <f>AVERAGE($I$71,$I$72)</f>
        <v>5001.0365000000002</v>
      </c>
      <c r="M71">
        <f>AVERAGE($J$71,$J$72)</f>
        <v>200.32749999999999</v>
      </c>
      <c r="N71"/>
      <c r="O71" s="56">
        <f>$O$69+($N$70)</f>
        <v>119.125688016529</v>
      </c>
      <c r="P71"/>
      <c r="Q71"/>
      <c r="R71"/>
      <c r="S71"/>
      <c r="T71"/>
      <c r="U71"/>
      <c r="V71" s="156"/>
      <c r="W71" t="s">
        <v>104</v>
      </c>
      <c r="X71">
        <v>9</v>
      </c>
      <c r="Y71" s="147">
        <f>$O$131</f>
        <v>127.62168801652901</v>
      </c>
      <c r="Z71" s="202">
        <f>$X$23*($X$71/$X$72)+$Z$61</f>
        <v>-6.0937499993363176E-5</v>
      </c>
      <c r="AA71" s="147">
        <f>$Y$71-$Z$71</f>
        <v>127.621748954029</v>
      </c>
      <c r="AB71" s="147">
        <f>$P$132</f>
        <v>20.602764043933501</v>
      </c>
      <c r="AC71" s="124" t="s">
        <v>104</v>
      </c>
      <c r="AD71" s="124">
        <v>9</v>
      </c>
      <c r="AE71" s="147">
        <f>$AA$71</f>
        <v>127.621748954029</v>
      </c>
      <c r="AF71" s="202">
        <f>$AD$23*($AD$71/$AD$72)+$AF$61</f>
        <v>5.0386751032061028E-3</v>
      </c>
      <c r="AG71" s="147">
        <f>$AE$71-$AF$71</f>
        <v>127.61671027892579</v>
      </c>
      <c r="AH71" s="147">
        <f>$AB$71</f>
        <v>20.602764043933501</v>
      </c>
      <c r="AI71"/>
      <c r="AJ71" t="s">
        <v>107</v>
      </c>
      <c r="AK71" s="147">
        <f>VLOOKUP($AJ$71,$AC$28:$AH$115,5,)</f>
        <v>129.25432737603322</v>
      </c>
      <c r="AL71" s="147">
        <f t="shared" si="0"/>
        <v>20.659946182165143</v>
      </c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 s="67" t="s">
        <v>82</v>
      </c>
      <c r="B72" s="64">
        <f>_xlfn.IFNA(INDEX(Table_INPUT_2D[X],MATCH(Table8[[#This Row],[UID]],Table_INPUT_2D[Unique ID],0)),"")</f>
        <v>10132.387000000001</v>
      </c>
      <c r="C72" s="64">
        <f>_xlfn.IFNA(INDEX(Table_INPUT_2D[Y],MATCH(Table8[[#This Row],[UID]],Table_INPUT_2D[Unique ID],0)),"")</f>
        <v>5001.0360000000001</v>
      </c>
      <c r="D72" s="64">
        <f>_xlfn.IFNA(INDEX(Table_INPUT_2D[Z],MATCH(Table8[[#This Row],[UID]],Table_INPUT_2D[Unique ID],0)),"")</f>
        <v>200.327</v>
      </c>
      <c r="E72" s="65" t="s">
        <v>189</v>
      </c>
      <c r="G72" s="2" t="str">
        <f>IF($A$72 &lt;&gt; "",$A$72, "")</f>
        <v>MR9019</v>
      </c>
      <c r="H72" s="2">
        <f>IF($B$72 &lt;&gt; "",$B$72, "")</f>
        <v>10132.387000000001</v>
      </c>
      <c r="I72" s="2">
        <f>IF($C$72 &lt;&gt; "",$C$72, "")</f>
        <v>5001.0360000000001</v>
      </c>
      <c r="J72" s="2">
        <f>IF($D$72 &lt;&gt; "",$D$72, "")</f>
        <v>200.327</v>
      </c>
      <c r="K72"/>
      <c r="L72"/>
      <c r="M72"/>
      <c r="N72">
        <f>$M$73-$M$71</f>
        <v>0.52350000000001273</v>
      </c>
      <c r="O72" s="56"/>
      <c r="P72">
        <f>SQRT(($K$73-$K$71)^2 +($L$73-$L$71)^2)</f>
        <v>18.598219679582112</v>
      </c>
      <c r="Q72"/>
      <c r="R72"/>
      <c r="S72"/>
      <c r="T72"/>
      <c r="U72"/>
      <c r="V72" s="156"/>
      <c r="W72" t="s">
        <v>105</v>
      </c>
      <c r="X72">
        <v>10</v>
      </c>
      <c r="Y72" s="147">
        <f>$O$133</f>
        <v>128.164688016529</v>
      </c>
      <c r="Z72" s="202">
        <f>$X$23*($X$72/$X$72)+$Z$61</f>
        <v>-6.2499999993193001E-5</v>
      </c>
      <c r="AA72" s="147">
        <f>$Y$72-$Z$72</f>
        <v>128.16475051652898</v>
      </c>
      <c r="AB72" s="147">
        <f>$P$142</f>
        <v>20.692035164526214</v>
      </c>
      <c r="AC72" s="124" t="s">
        <v>105</v>
      </c>
      <c r="AD72" s="124">
        <v>10</v>
      </c>
      <c r="AE72" s="147">
        <f>$AA$72</f>
        <v>128.16475051652898</v>
      </c>
      <c r="AF72" s="202">
        <f>$AD$23*($AD$72/$AD$72)+$AF$61</f>
        <v>5.167871900724208E-3</v>
      </c>
      <c r="AG72" s="147">
        <f>$AE$72-$AF$72</f>
        <v>128.15958264462824</v>
      </c>
      <c r="AH72" s="147">
        <f>$AB$72</f>
        <v>20.692035164526214</v>
      </c>
      <c r="AI72"/>
      <c r="AJ72" t="s">
        <v>108</v>
      </c>
      <c r="AK72" s="147">
        <f>VLOOKUP($AJ$72,$AC$28:$AH$115,5,)</f>
        <v>130.00219974173572</v>
      </c>
      <c r="AL72" s="147">
        <f t="shared" si="0"/>
        <v>20.933373270928897</v>
      </c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 s="67" t="s">
        <v>83</v>
      </c>
      <c r="B73" s="64">
        <f>_xlfn.IFNA(INDEX(Table_INPUT_2D[X],MATCH(Table8[[#This Row],[UID]],Table_INPUT_2D[Unique ID],0)),"")</f>
        <v>10149.913</v>
      </c>
      <c r="C73" s="64">
        <f>_xlfn.IFNA(INDEX(Table_INPUT_2D[Y],MATCH(Table8[[#This Row],[UID]],Table_INPUT_2D[Unique ID],0)),"")</f>
        <v>4994.8100000000004</v>
      </c>
      <c r="D73" s="64">
        <f>_xlfn.IFNA(INDEX(Table_INPUT_2D[Z],MATCH(Table8[[#This Row],[UID]],Table_INPUT_2D[Unique ID],0)),"")</f>
        <v>200.85</v>
      </c>
      <c r="E73" s="65" t="s">
        <v>190</v>
      </c>
      <c r="G73" s="2" t="str">
        <f>IF($A$73 &lt;&gt; "",$A$73, "")</f>
        <v>MR9020</v>
      </c>
      <c r="H73" s="2">
        <f>IF($B$73 &lt;&gt; "",$B$73, "")</f>
        <v>10149.913</v>
      </c>
      <c r="I73" s="2">
        <f>IF($C$73 &lt;&gt; "",$C$73, "")</f>
        <v>4994.8100000000004</v>
      </c>
      <c r="J73" s="2">
        <f>IF($D$73 &lt;&gt; "",$D$73, "")</f>
        <v>200.85</v>
      </c>
      <c r="K73">
        <f>AVERAGE($H$73,$H$74)</f>
        <v>10149.913</v>
      </c>
      <c r="L73">
        <f>AVERAGE($I$73,$I$74)</f>
        <v>4994.8114999999998</v>
      </c>
      <c r="M73">
        <f>AVERAGE($J$73,$J$74)</f>
        <v>200.851</v>
      </c>
      <c r="N73"/>
      <c r="O73" s="56">
        <f>$O$71+($N$72)</f>
        <v>119.64918801652901</v>
      </c>
      <c r="P73"/>
      <c r="Q73"/>
      <c r="R73"/>
      <c r="S73"/>
      <c r="T73"/>
      <c r="U73"/>
      <c r="V73" s="156"/>
      <c r="W73"/>
      <c r="X73"/>
      <c r="Y73" s="147"/>
      <c r="Z73" s="202"/>
      <c r="AA73" s="147"/>
      <c r="AB73" s="147"/>
      <c r="AC73" s="124"/>
      <c r="AD73" s="124"/>
      <c r="AE73" s="147"/>
      <c r="AF73" s="202"/>
      <c r="AG73" s="147"/>
      <c r="AH73" s="147"/>
      <c r="AI73"/>
      <c r="AJ73" t="s">
        <v>109</v>
      </c>
      <c r="AK73" s="147">
        <f>VLOOKUP($AJ$73,$AC$28:$AH$115,5,)</f>
        <v>130.56707210743821</v>
      </c>
      <c r="AL73" s="147">
        <f t="shared" si="0"/>
        <v>17.835824987928412</v>
      </c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 s="67" t="s">
        <v>83</v>
      </c>
      <c r="B74" s="64">
        <f>_xlfn.IFNA(INDEX(Table_INPUT_2D[X],MATCH(Table8[[#This Row],[UID]],Table_INPUT_2D[Unique ID],0)),"")</f>
        <v>10149.913</v>
      </c>
      <c r="C74" s="64">
        <f>_xlfn.IFNA(INDEX(Table_INPUT_2D[Y],MATCH(Table8[[#This Row],[UID]],Table_INPUT_2D[Unique ID],0)),"")</f>
        <v>4994.8130000000001</v>
      </c>
      <c r="D74" s="64">
        <f>_xlfn.IFNA(INDEX(Table_INPUT_2D[Z],MATCH(Table8[[#This Row],[UID]],Table_INPUT_2D[Unique ID],0)),"")</f>
        <v>200.852</v>
      </c>
      <c r="E74" s="65" t="s">
        <v>191</v>
      </c>
      <c r="G74" s="2" t="str">
        <f>IF($A$74 &lt;&gt; "",$A$74, "")</f>
        <v>MR9020</v>
      </c>
      <c r="H74" s="2">
        <f>IF($B$74 &lt;&gt; "",$B$74, "")</f>
        <v>10149.913</v>
      </c>
      <c r="I74" s="2">
        <f>IF($C$74 &lt;&gt; "",$C$74, "")</f>
        <v>4994.8130000000001</v>
      </c>
      <c r="J74" s="2">
        <f>IF($D$74 &lt;&gt; "",$D$74, "")</f>
        <v>200.852</v>
      </c>
      <c r="K74"/>
      <c r="L74"/>
      <c r="M74"/>
      <c r="N74">
        <f>$M$75-$M$73</f>
        <v>0.10250000000002046</v>
      </c>
      <c r="O74" s="56"/>
      <c r="P74">
        <f>SQRT(($K$75-$K$73)^2 +($L$75-$L$73)^2)</f>
        <v>21.555228397072916</v>
      </c>
      <c r="Q74"/>
      <c r="R74"/>
      <c r="S74"/>
      <c r="T74"/>
      <c r="U74"/>
      <c r="V74" s="156">
        <v>5</v>
      </c>
      <c r="W74" t="s">
        <v>106</v>
      </c>
      <c r="X74">
        <v>1</v>
      </c>
      <c r="Y74" s="147">
        <f>$O$143</f>
        <v>128.82868801652901</v>
      </c>
      <c r="Z74" s="202">
        <f>$X$23*($X$74/$X$83)+$Z$72</f>
        <v>-6.4062499993022826E-5</v>
      </c>
      <c r="AA74" s="147">
        <f>$Y$74-$Z$74</f>
        <v>128.82875207902902</v>
      </c>
      <c r="AB74" s="147">
        <f>$P$144</f>
        <v>17.994481716627082</v>
      </c>
      <c r="AC74" s="124" t="s">
        <v>106</v>
      </c>
      <c r="AD74" s="124">
        <v>1</v>
      </c>
      <c r="AE74" s="147">
        <f>$AA$74</f>
        <v>128.82875207902902</v>
      </c>
      <c r="AF74" s="202">
        <f>$AD$23*($AD$74/$AD$83)+$AF$72</f>
        <v>5.2970686982423132E-3</v>
      </c>
      <c r="AG74" s="147">
        <f>$AE$74-$AF$74</f>
        <v>128.82345501033078</v>
      </c>
      <c r="AH74" s="147">
        <f>$AB$74</f>
        <v>17.994481716627082</v>
      </c>
      <c r="AI74"/>
      <c r="AJ74" t="s">
        <v>110</v>
      </c>
      <c r="AK74" s="147">
        <f>VLOOKUP($AJ$74,$AC$28:$AH$115,5,)</f>
        <v>131.18244447314066</v>
      </c>
      <c r="AL74" s="147">
        <f t="shared" si="0"/>
        <v>20.890803586745054</v>
      </c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 s="67" t="s">
        <v>84</v>
      </c>
      <c r="B75" s="64">
        <f>_xlfn.IFNA(INDEX(Table_INPUT_2D[X],MATCH(Table8[[#This Row],[UID]],Table_INPUT_2D[Unique ID],0)),"")</f>
        <v>10170.214</v>
      </c>
      <c r="C75" s="64">
        <f>_xlfn.IFNA(INDEX(Table_INPUT_2D[Y],MATCH(Table8[[#This Row],[UID]],Table_INPUT_2D[Unique ID],0)),"")</f>
        <v>4987.5659999999998</v>
      </c>
      <c r="D75" s="64">
        <f>_xlfn.IFNA(INDEX(Table_INPUT_2D[Z],MATCH(Table8[[#This Row],[UID]],Table_INPUT_2D[Unique ID],0)),"")</f>
        <v>200.95400000000001</v>
      </c>
      <c r="E75" s="65" t="s">
        <v>192</v>
      </c>
      <c r="G75" s="2" t="str">
        <f>IF($A$75 &lt;&gt; "",$A$75, "")</f>
        <v>MR9021</v>
      </c>
      <c r="H75" s="2">
        <f>IF($B$75 &lt;&gt; "",$B$75, "")</f>
        <v>10170.214</v>
      </c>
      <c r="I75" s="2">
        <f>IF($C$75 &lt;&gt; "",$C$75, "")</f>
        <v>4987.5659999999998</v>
      </c>
      <c r="J75" s="2">
        <f>IF($D$75 &lt;&gt; "",$D$75, "")</f>
        <v>200.95400000000001</v>
      </c>
      <c r="K75">
        <f>AVERAGE($H$75,$H$76)</f>
        <v>10170.214</v>
      </c>
      <c r="L75">
        <f>AVERAGE($I$75,$I$76)</f>
        <v>4987.5659999999998</v>
      </c>
      <c r="M75">
        <f>AVERAGE($J$75,$J$76)</f>
        <v>200.95350000000002</v>
      </c>
      <c r="N75"/>
      <c r="O75" s="56">
        <f>$O$73+($N$74)</f>
        <v>119.75168801652903</v>
      </c>
      <c r="P75"/>
      <c r="Q75"/>
      <c r="R75"/>
      <c r="S75"/>
      <c r="T75"/>
      <c r="U75"/>
      <c r="V75" s="156"/>
      <c r="W75" t="s">
        <v>107</v>
      </c>
      <c r="X75">
        <v>2</v>
      </c>
      <c r="Y75" s="147">
        <f>$O$145</f>
        <v>129.259688016529</v>
      </c>
      <c r="Z75" s="202">
        <f>$X$23*($X$75/$X$83)+$Z$72</f>
        <v>-6.5624999992852651E-5</v>
      </c>
      <c r="AA75" s="147">
        <f>$Y$75-$Z$75</f>
        <v>129.25975364152899</v>
      </c>
      <c r="AB75" s="147">
        <f>$P$146</f>
        <v>20.659946182165143</v>
      </c>
      <c r="AC75" s="124" t="s">
        <v>107</v>
      </c>
      <c r="AD75" s="124">
        <v>2</v>
      </c>
      <c r="AE75" s="147">
        <f>$AA$75</f>
        <v>129.25975364152899</v>
      </c>
      <c r="AF75" s="202">
        <f>$AD$23*($AD$75/$AD$83)+$AF$72</f>
        <v>5.4262654957604184E-3</v>
      </c>
      <c r="AG75" s="147">
        <f>$AE$75-$AF$75</f>
        <v>129.25432737603322</v>
      </c>
      <c r="AH75" s="147">
        <f>$AB$75</f>
        <v>20.659946182165143</v>
      </c>
      <c r="AI75"/>
      <c r="AJ75" t="s">
        <v>111</v>
      </c>
      <c r="AK75" s="147">
        <f>VLOOKUP($AJ$75,$AC$28:$AH$115,5,)</f>
        <v>131.83481683884318</v>
      </c>
      <c r="AL75" s="147">
        <f t="shared" si="0"/>
        <v>20.885468183644836</v>
      </c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 s="67" t="s">
        <v>84</v>
      </c>
      <c r="B76" s="64">
        <f>_xlfn.IFNA(INDEX(Table_INPUT_2D[X],MATCH(Table8[[#This Row],[UID]],Table_INPUT_2D[Unique ID],0)),"")</f>
        <v>10170.214</v>
      </c>
      <c r="C76" s="64">
        <f>_xlfn.IFNA(INDEX(Table_INPUT_2D[Y],MATCH(Table8[[#This Row],[UID]],Table_INPUT_2D[Unique ID],0)),"")</f>
        <v>4987.5659999999998</v>
      </c>
      <c r="D76" s="64">
        <f>_xlfn.IFNA(INDEX(Table_INPUT_2D[Z],MATCH(Table8[[#This Row],[UID]],Table_INPUT_2D[Unique ID],0)),"")</f>
        <v>200.953</v>
      </c>
      <c r="E76" s="65" t="s">
        <v>193</v>
      </c>
      <c r="G76" s="2" t="str">
        <f>IF($A$76 &lt;&gt; "",$A$76, "")</f>
        <v>MR9021</v>
      </c>
      <c r="H76" s="2">
        <f>IF($B$76 &lt;&gt; "",$B$76, "")</f>
        <v>10170.214</v>
      </c>
      <c r="I76" s="2">
        <f>IF($C$76 &lt;&gt; "",$C$76, "")</f>
        <v>4987.5659999999998</v>
      </c>
      <c r="J76" s="2">
        <f>IF($D$76 &lt;&gt; "",$D$76, "")</f>
        <v>200.953</v>
      </c>
      <c r="K76"/>
      <c r="L76"/>
      <c r="M76"/>
      <c r="N76">
        <f>$M$77-$M$75</f>
        <v>8.1999999999993634E-2</v>
      </c>
      <c r="O76" s="56"/>
      <c r="P76">
        <f>SQRT(($K$77-$K$75)^2 +($L$77-$L$75)^2)</f>
        <v>18.160301112591664</v>
      </c>
      <c r="Q76"/>
      <c r="R76"/>
      <c r="S76"/>
      <c r="T76"/>
      <c r="U76"/>
      <c r="V76" s="156"/>
      <c r="W76" t="s">
        <v>108</v>
      </c>
      <c r="X76">
        <v>3</v>
      </c>
      <c r="Y76" s="147">
        <f>$O$147</f>
        <v>130.00768801652902</v>
      </c>
      <c r="Z76" s="202">
        <f>$X$23*($X$76/$X$83)+$Z$72</f>
        <v>-6.7187499992682476E-5</v>
      </c>
      <c r="AA76" s="147">
        <f>$Y$76-$Z$76</f>
        <v>130.007755204029</v>
      </c>
      <c r="AB76" s="147">
        <f>$P$148</f>
        <v>20.933373270928897</v>
      </c>
      <c r="AC76" s="124" t="s">
        <v>108</v>
      </c>
      <c r="AD76" s="124">
        <v>3</v>
      </c>
      <c r="AE76" s="147">
        <f>$AA$76</f>
        <v>130.007755204029</v>
      </c>
      <c r="AF76" s="202">
        <f>$AD$23*($AD$76/$AD$83)+$AF$72</f>
        <v>5.5554622932785236E-3</v>
      </c>
      <c r="AG76" s="147">
        <f>$AE$76-$AF$76</f>
        <v>130.00219974173572</v>
      </c>
      <c r="AH76" s="147">
        <f>$AB$76</f>
        <v>20.933373270928897</v>
      </c>
      <c r="AI76"/>
      <c r="AJ76" t="s">
        <v>112</v>
      </c>
      <c r="AK76" s="147">
        <f>VLOOKUP($AJ$76,$AC$28:$AH$115,5,)</f>
        <v>132.50318920454566</v>
      </c>
      <c r="AL76" s="147">
        <f t="shared" si="0"/>
        <v>20.88086324843859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 s="67" t="s">
        <v>85</v>
      </c>
      <c r="B77" s="64">
        <f>_xlfn.IFNA(INDEX(Table_INPUT_2D[X],MATCH(Table8[[#This Row],[UID]],Table_INPUT_2D[Unique ID],0)),"")</f>
        <v>10187.258</v>
      </c>
      <c r="C77" s="64">
        <f>_xlfn.IFNA(INDEX(Table_INPUT_2D[Y],MATCH(Table8[[#This Row],[UID]],Table_INPUT_2D[Unique ID],0)),"")</f>
        <v>4981.2979999999998</v>
      </c>
      <c r="D77" s="64">
        <f>_xlfn.IFNA(INDEX(Table_INPUT_2D[Z],MATCH(Table8[[#This Row],[UID]],Table_INPUT_2D[Unique ID],0)),"")</f>
        <v>201.03299999999999</v>
      </c>
      <c r="E77" s="65" t="s">
        <v>194</v>
      </c>
      <c r="G77" s="2" t="str">
        <f>IF($A$77 &lt;&gt; "",$A$77, "")</f>
        <v>MR9022</v>
      </c>
      <c r="H77" s="2">
        <f>IF($B$77 &lt;&gt; "",$B$77, "")</f>
        <v>10187.258</v>
      </c>
      <c r="I77" s="2">
        <f>IF($C$77 &lt;&gt; "",$C$77, "")</f>
        <v>4981.2979999999998</v>
      </c>
      <c r="J77" s="2">
        <f>IF($D$77 &lt;&gt; "",$D$77, "")</f>
        <v>201.03299999999999</v>
      </c>
      <c r="K77">
        <f>AVERAGE($H$77,$H$78)</f>
        <v>10187.2585</v>
      </c>
      <c r="L77">
        <f>AVERAGE($I$77,$I$78)</f>
        <v>4981.2984999999999</v>
      </c>
      <c r="M77">
        <f>AVERAGE($J$77,$J$78)</f>
        <v>201.03550000000001</v>
      </c>
      <c r="N77"/>
      <c r="O77" s="56">
        <f>$O$75+($N$76)</f>
        <v>119.83368801652902</v>
      </c>
      <c r="P77"/>
      <c r="Q77"/>
      <c r="R77"/>
      <c r="S77"/>
      <c r="T77"/>
      <c r="U77"/>
      <c r="V77" s="156"/>
      <c r="W77" t="s">
        <v>109</v>
      </c>
      <c r="X77">
        <v>4</v>
      </c>
      <c r="Y77" s="147">
        <f>$O$149</f>
        <v>130.57268801652901</v>
      </c>
      <c r="Z77" s="202">
        <f>$X$23*($X$77/$X$83)+$Z$72</f>
        <v>-6.8749999992512301E-5</v>
      </c>
      <c r="AA77" s="147">
        <f>$Y$77-$Z$77</f>
        <v>130.57275676652901</v>
      </c>
      <c r="AB77" s="147">
        <f>$P$150</f>
        <v>17.835824987928412</v>
      </c>
      <c r="AC77" s="124" t="s">
        <v>109</v>
      </c>
      <c r="AD77" s="124">
        <v>4</v>
      </c>
      <c r="AE77" s="147">
        <f>$AA$77</f>
        <v>130.57275676652901</v>
      </c>
      <c r="AF77" s="202">
        <f>$AD$23*($AD$77/$AD$83)+$AF$72</f>
        <v>5.6846590907966288E-3</v>
      </c>
      <c r="AG77" s="147">
        <f>$AE$77-$AF$77</f>
        <v>130.56707210743821</v>
      </c>
      <c r="AH77" s="147">
        <f>$AB$77</f>
        <v>17.835824987928412</v>
      </c>
      <c r="AI77"/>
      <c r="AJ77" t="s">
        <v>113</v>
      </c>
      <c r="AK77" s="147">
        <f>VLOOKUP($AJ$77,$AC$28:$AH$115,5,)</f>
        <v>133.15906157024813</v>
      </c>
      <c r="AL77" s="147">
        <f t="shared" si="0"/>
        <v>17.839652918428484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 s="67" t="s">
        <v>85</v>
      </c>
      <c r="B78" s="64">
        <f>_xlfn.IFNA(INDEX(Table_INPUT_2D[X],MATCH(Table8[[#This Row],[UID]],Table_INPUT_2D[Unique ID],0)),"")</f>
        <v>10187.259</v>
      </c>
      <c r="C78" s="64">
        <f>_xlfn.IFNA(INDEX(Table_INPUT_2D[Y],MATCH(Table8[[#This Row],[UID]],Table_INPUT_2D[Unique ID],0)),"")</f>
        <v>4981.299</v>
      </c>
      <c r="D78" s="64">
        <f>_xlfn.IFNA(INDEX(Table_INPUT_2D[Z],MATCH(Table8[[#This Row],[UID]],Table_INPUT_2D[Unique ID],0)),"")</f>
        <v>201.03800000000001</v>
      </c>
      <c r="E78" s="65" t="s">
        <v>195</v>
      </c>
      <c r="G78" s="2" t="str">
        <f>IF($A$78 &lt;&gt; "",$A$78, "")</f>
        <v>MR9022</v>
      </c>
      <c r="H78" s="2">
        <f>IF($B$78 &lt;&gt; "",$B$78, "")</f>
        <v>10187.259</v>
      </c>
      <c r="I78" s="2">
        <f>IF($C$78 &lt;&gt; "",$C$78, "")</f>
        <v>4981.299</v>
      </c>
      <c r="J78" s="2">
        <f>IF($D$78 &lt;&gt; "",$D$78, "")</f>
        <v>201.03800000000001</v>
      </c>
      <c r="K78"/>
      <c r="L78"/>
      <c r="M78"/>
      <c r="N78"/>
      <c r="O78" s="56"/>
      <c r="P78"/>
      <c r="Q78"/>
      <c r="R78"/>
      <c r="S78"/>
      <c r="T78"/>
      <c r="U78"/>
      <c r="V78" s="156"/>
      <c r="W78" t="s">
        <v>110</v>
      </c>
      <c r="X78">
        <v>5</v>
      </c>
      <c r="Y78" s="147">
        <f>$O$151</f>
        <v>131.18818801652898</v>
      </c>
      <c r="Z78" s="202">
        <f>$X$23*($X$78/$X$83)+$Z$72</f>
        <v>-7.0312499992342126E-5</v>
      </c>
      <c r="AA78" s="147">
        <f>$Y$78-$Z$78</f>
        <v>131.18825832902897</v>
      </c>
      <c r="AB78" s="147">
        <f>$P$152</f>
        <v>20.890803586745054</v>
      </c>
      <c r="AC78" s="124" t="s">
        <v>110</v>
      </c>
      <c r="AD78" s="124">
        <v>5</v>
      </c>
      <c r="AE78" s="147">
        <f>$AA$78</f>
        <v>131.18825832902897</v>
      </c>
      <c r="AF78" s="202">
        <f>$AD$23*($AD$78/$AD$83)+$AF$72</f>
        <v>5.813855888314734E-3</v>
      </c>
      <c r="AG78" s="147">
        <f>$AE$78-$AF$78</f>
        <v>131.18244447314066</v>
      </c>
      <c r="AH78" s="147">
        <f>$AB$78</f>
        <v>20.890803586745054</v>
      </c>
      <c r="AI78"/>
      <c r="AJ78" t="s">
        <v>114</v>
      </c>
      <c r="AK78" s="147">
        <f>VLOOKUP($AJ$78,$AC$28:$AH$115,5,)</f>
        <v>133.93043393595062</v>
      </c>
      <c r="AL78" s="147">
        <f t="shared" si="0"/>
        <v>20.910568649607981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 s="63" t="s">
        <v>21</v>
      </c>
      <c r="B79" s="64" t="str">
        <f>_xlfn.IFNA(INDEX(Table_INPUT_2D[X],MATCH(Table8[[#This Row],[UID]],Table_INPUT_2D[Unique ID],0)),"")</f>
        <v/>
      </c>
      <c r="C79" s="64" t="str">
        <f>_xlfn.IFNA(INDEX(Table_INPUT_2D[Y],MATCH(Table8[[#This Row],[UID]],Table_INPUT_2D[Unique ID],0)),"")</f>
        <v/>
      </c>
      <c r="D79" s="64" t="str">
        <f>_xlfn.IFNA(INDEX(Table_INPUT_2D[Z],MATCH(Table8[[#This Row],[UID]],Table_INPUT_2D[Unique ID],0)),"")</f>
        <v/>
      </c>
      <c r="E79" s="65"/>
      <c r="G79" s="2" t="str">
        <f>IF($A$79 &lt;&gt; "",$A$79, "")</f>
        <v>CLOSE</v>
      </c>
      <c r="H79" s="2" t="str">
        <f>IF($B$79 &lt;&gt; "",$B$79, "")</f>
        <v/>
      </c>
      <c r="I79" s="2" t="str">
        <f>IF($C$79 &lt;&gt; "",$C$79, "")</f>
        <v/>
      </c>
      <c r="J79" s="2" t="str">
        <f>IF($D$79 &lt;&gt; "",$D$79, "")</f>
        <v/>
      </c>
      <c r="K79"/>
      <c r="L79"/>
      <c r="M79"/>
      <c r="N79"/>
      <c r="O79" s="56"/>
      <c r="P79"/>
      <c r="Q79"/>
      <c r="R79"/>
      <c r="S79"/>
      <c r="T79"/>
      <c r="U79"/>
      <c r="V79" s="156"/>
      <c r="W79" t="s">
        <v>111</v>
      </c>
      <c r="X79">
        <v>6</v>
      </c>
      <c r="Y79" s="147">
        <f>$O$153</f>
        <v>131.84068801652901</v>
      </c>
      <c r="Z79" s="202">
        <f>$X$23*($X$79/$X$83)+$Z$72</f>
        <v>-7.1874999992171951E-5</v>
      </c>
      <c r="AA79" s="147">
        <f>$Y$79-$Z$79</f>
        <v>131.84075989152902</v>
      </c>
      <c r="AB79" s="147">
        <f>$P$154</f>
        <v>20.885468183644836</v>
      </c>
      <c r="AC79" s="124" t="s">
        <v>111</v>
      </c>
      <c r="AD79" s="124">
        <v>6</v>
      </c>
      <c r="AE79" s="147">
        <f>$AA$79</f>
        <v>131.84075989152902</v>
      </c>
      <c r="AF79" s="202">
        <f>$AD$23*($AD$79/$AD$83)+$AF$72</f>
        <v>5.9430526858328392E-3</v>
      </c>
      <c r="AG79" s="147">
        <f>$AE$79-$AF$79</f>
        <v>131.83481683884318</v>
      </c>
      <c r="AH79" s="147">
        <f>$AB$79</f>
        <v>20.885468183644836</v>
      </c>
      <c r="AI79"/>
      <c r="AJ79" t="s">
        <v>115</v>
      </c>
      <c r="AK79" s="147">
        <f>VLOOKUP($AJ$79,$AC$28:$AH$115,5,)</f>
        <v>134.8053063016531</v>
      </c>
      <c r="AL79" s="147">
        <f t="shared" si="0"/>
        <v>20.862941097792728</v>
      </c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 s="67" t="s">
        <v>75</v>
      </c>
      <c r="B80" s="64">
        <f>_xlfn.IFNA(INDEX(Table_INPUT_2D[X],MATCH(Table8[[#This Row],[UID]],Table_INPUT_2D[Unique ID],0)),"")</f>
        <v>10011.449000000001</v>
      </c>
      <c r="C80" s="64">
        <f>_xlfn.IFNA(INDEX(Table_INPUT_2D[Y],MATCH(Table8[[#This Row],[UID]],Table_INPUT_2D[Unique ID],0)),"")</f>
        <v>5068.3689999999997</v>
      </c>
      <c r="D80" s="64">
        <f>_xlfn.IFNA(INDEX(Table_INPUT_2D[Z],MATCH(Table8[[#This Row],[UID]],Table_INPUT_2D[Unique ID],0)),"")</f>
        <v>200.691</v>
      </c>
      <c r="E80" s="65" t="s">
        <v>174</v>
      </c>
      <c r="G80" s="2" t="str">
        <f>IF($A$80 &lt;&gt; "",$A$80, "")</f>
        <v>MR9012</v>
      </c>
      <c r="H80" s="2">
        <f>IF($B$80 &lt;&gt; "",$B$80, "")</f>
        <v>10011.449000000001</v>
      </c>
      <c r="I80" s="2">
        <f>IF($C$80 &lt;&gt; "",$C$80, "")</f>
        <v>5068.3689999999997</v>
      </c>
      <c r="J80" s="2">
        <f>IF($D$80 &lt;&gt; "",$D$80, "")</f>
        <v>200.691</v>
      </c>
      <c r="K80">
        <f>AVERAGE($H$80,$H$81)</f>
        <v>10011.449500000001</v>
      </c>
      <c r="L80">
        <f>AVERAGE($I$80,$I$81)</f>
        <v>5068.37</v>
      </c>
      <c r="M80">
        <f>AVERAGE($J$80,$J$81)</f>
        <v>200.69049999999999</v>
      </c>
      <c r="N80"/>
      <c r="O80" s="56">
        <f>$O$82+(-$N$81)</f>
        <v>119.49018801652906</v>
      </c>
      <c r="P80"/>
      <c r="Q80"/>
      <c r="R80"/>
      <c r="S80"/>
      <c r="T80"/>
      <c r="U80"/>
      <c r="V80" s="156"/>
      <c r="W80" t="s">
        <v>112</v>
      </c>
      <c r="X80">
        <v>7</v>
      </c>
      <c r="Y80" s="147">
        <f>$O$155</f>
        <v>132.50918801652901</v>
      </c>
      <c r="Z80" s="202">
        <f>$X$23*($X$80/$X$83)+$Z$72</f>
        <v>-7.3437499992001776E-5</v>
      </c>
      <c r="AA80" s="147">
        <f>$Y$80-$Z$80</f>
        <v>132.509261454029</v>
      </c>
      <c r="AB80" s="147">
        <f>$P$156</f>
        <v>20.88086324843859</v>
      </c>
      <c r="AC80" s="124" t="s">
        <v>112</v>
      </c>
      <c r="AD80" s="124">
        <v>7</v>
      </c>
      <c r="AE80" s="147">
        <f>$AA$80</f>
        <v>132.509261454029</v>
      </c>
      <c r="AF80" s="202">
        <f>$AD$23*($AD$80/$AD$83)+$AF$72</f>
        <v>6.0722494833509444E-3</v>
      </c>
      <c r="AG80" s="147">
        <f>$AE$80-$AF$80</f>
        <v>132.50318920454566</v>
      </c>
      <c r="AH80" s="147">
        <f>$AB$80</f>
        <v>20.88086324843859</v>
      </c>
      <c r="AI80"/>
      <c r="AJ80" t="s">
        <v>116</v>
      </c>
      <c r="AK80" s="147">
        <f>VLOOKUP($AJ$80,$AC$28:$AH$115,5,)</f>
        <v>135.6501467587812</v>
      </c>
      <c r="AL80" s="147">
        <f t="shared" si="0"/>
        <v>20.658613125039473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 s="67" t="s">
        <v>75</v>
      </c>
      <c r="B81" s="64">
        <f>_xlfn.IFNA(INDEX(Table_INPUT_2D[X],MATCH(Table8[[#This Row],[UID]],Table_INPUT_2D[Unique ID],0)),"")</f>
        <v>10011.450000000001</v>
      </c>
      <c r="C81" s="64">
        <f>_xlfn.IFNA(INDEX(Table_INPUT_2D[Y],MATCH(Table8[[#This Row],[UID]],Table_INPUT_2D[Unique ID],0)),"")</f>
        <v>5068.3710000000001</v>
      </c>
      <c r="D81" s="64">
        <f>_xlfn.IFNA(INDEX(Table_INPUT_2D[Z],MATCH(Table8[[#This Row],[UID]],Table_INPUT_2D[Unique ID],0)),"")</f>
        <v>200.69</v>
      </c>
      <c r="E81" s="65" t="s">
        <v>175</v>
      </c>
      <c r="G81" s="2" t="str">
        <f>IF($A$81 &lt;&gt; "",$A$81, "")</f>
        <v>MR9012</v>
      </c>
      <c r="H81" s="2">
        <f>IF($B$81 &lt;&gt; "",$B$81, "")</f>
        <v>10011.450000000001</v>
      </c>
      <c r="I81" s="2">
        <f>IF($C$81 &lt;&gt; "",$C$81, "")</f>
        <v>5068.3710000000001</v>
      </c>
      <c r="J81" s="2">
        <f>IF($D$81 &lt;&gt; "",$D$81, "")</f>
        <v>200.69</v>
      </c>
      <c r="K81"/>
      <c r="L81"/>
      <c r="M81"/>
      <c r="N81">
        <f>$M$82-$M$80</f>
        <v>0.34649999999999181</v>
      </c>
      <c r="O81" s="56"/>
      <c r="P81">
        <f>SQRT(($K$82-$K$80)^2 +($L$82-$L$80)^2)</f>
        <v>196.18910143532369</v>
      </c>
      <c r="Q81"/>
      <c r="R81"/>
      <c r="S81"/>
      <c r="T81"/>
      <c r="U81"/>
      <c r="V81" s="156"/>
      <c r="W81" t="s">
        <v>113</v>
      </c>
      <c r="X81">
        <v>8</v>
      </c>
      <c r="Y81" s="147">
        <f>$O$157</f>
        <v>133.16518801652902</v>
      </c>
      <c r="Z81" s="202">
        <f>$X$23*($X$81/$X$83)+$Z$72</f>
        <v>-7.4999999991831601E-5</v>
      </c>
      <c r="AA81" s="147">
        <f>$Y$81-$Z$81</f>
        <v>133.165263016529</v>
      </c>
      <c r="AB81" s="147">
        <f>$P$158</f>
        <v>17.839652918428484</v>
      </c>
      <c r="AC81" s="124" t="s">
        <v>113</v>
      </c>
      <c r="AD81" s="124">
        <v>8</v>
      </c>
      <c r="AE81" s="147">
        <f>$AA$81</f>
        <v>133.165263016529</v>
      </c>
      <c r="AF81" s="202">
        <f>$AD$23*($AD$81/$AD$83)+$AF$72</f>
        <v>6.2014462808690496E-3</v>
      </c>
      <c r="AG81" s="147">
        <f>$AE$81-$AF$81</f>
        <v>133.15906157024813</v>
      </c>
      <c r="AH81" s="147">
        <f>$AB$81</f>
        <v>17.839652918428484</v>
      </c>
      <c r="AI81"/>
      <c r="AJ81" t="s">
        <v>117</v>
      </c>
      <c r="AK81" s="147">
        <f>VLOOKUP($AJ$81,$AC$28:$AH$115,5,)</f>
        <v>136.26298721590931</v>
      </c>
      <c r="AL81" s="147">
        <f t="shared" si="0"/>
        <v>17.864393307638235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 s="67" t="s">
        <v>85</v>
      </c>
      <c r="B82" s="64">
        <f>_xlfn.IFNA(INDEX(Table_INPUT_2D[X],MATCH(Table8[[#This Row],[UID]],Table_INPUT_2D[Unique ID],0)),"")</f>
        <v>10187.259</v>
      </c>
      <c r="C82" s="64">
        <f>_xlfn.IFNA(INDEX(Table_INPUT_2D[Y],MATCH(Table8[[#This Row],[UID]],Table_INPUT_2D[Unique ID],0)),"")</f>
        <v>4981.3010000000004</v>
      </c>
      <c r="D82" s="64">
        <f>_xlfn.IFNA(INDEX(Table_INPUT_2D[Z],MATCH(Table8[[#This Row],[UID]],Table_INPUT_2D[Unique ID],0)),"")</f>
        <v>201.04</v>
      </c>
      <c r="E82" s="65" t="s">
        <v>196</v>
      </c>
      <c r="G82" s="2" t="str">
        <f>IF($A$82 &lt;&gt; "",$A$82, "")</f>
        <v>MR9022</v>
      </c>
      <c r="H82" s="2">
        <f>IF($B$82 &lt;&gt; "",$B$82, "")</f>
        <v>10187.259</v>
      </c>
      <c r="I82" s="2">
        <f>IF($C$82 &lt;&gt; "",$C$82, "")</f>
        <v>4981.3010000000004</v>
      </c>
      <c r="J82" s="2">
        <f>IF($D$82 &lt;&gt; "",$D$82, "")</f>
        <v>201.04</v>
      </c>
      <c r="K82">
        <f>AVERAGE($H$82,$H$83)</f>
        <v>10187.2585</v>
      </c>
      <c r="L82">
        <f>AVERAGE($I$82,$I$83)</f>
        <v>4981.299</v>
      </c>
      <c r="M82">
        <f>AVERAGE($J$82,$J$83)</f>
        <v>201.03699999999998</v>
      </c>
      <c r="N82"/>
      <c r="O82" s="56">
        <f>$O$108</f>
        <v>119.83668801652905</v>
      </c>
      <c r="P82"/>
      <c r="Q82"/>
      <c r="R82"/>
      <c r="S82"/>
      <c r="T82"/>
      <c r="U82"/>
      <c r="V82" s="156"/>
      <c r="W82" t="s">
        <v>114</v>
      </c>
      <c r="X82">
        <v>9</v>
      </c>
      <c r="Y82" s="147">
        <f>$O$159</f>
        <v>133.93668801652902</v>
      </c>
      <c r="Z82" s="202">
        <f>$X$23*($X$82/$X$83)+$Z$72</f>
        <v>-7.6562499991661426E-5</v>
      </c>
      <c r="AA82" s="147">
        <f>$Y$82-$Z$82</f>
        <v>133.93676457902902</v>
      </c>
      <c r="AB82" s="147">
        <f>$P$160</f>
        <v>20.910568649607981</v>
      </c>
      <c r="AC82" s="124" t="s">
        <v>114</v>
      </c>
      <c r="AD82" s="124">
        <v>9</v>
      </c>
      <c r="AE82" s="147">
        <f>$AA$82</f>
        <v>133.93676457902902</v>
      </c>
      <c r="AF82" s="202">
        <f>$AD$23*($AD$82/$AD$83)+$AF$72</f>
        <v>6.3306430783871548E-3</v>
      </c>
      <c r="AG82" s="147">
        <f>$AE$82-$AF$82</f>
        <v>133.93043393595062</v>
      </c>
      <c r="AH82" s="147">
        <f>$AB$82</f>
        <v>20.910568649607981</v>
      </c>
      <c r="AI82"/>
      <c r="AJ82" t="s">
        <v>118</v>
      </c>
      <c r="AK82" s="147">
        <f>VLOOKUP($AJ$82,$AC$28:$AH$115,5,)</f>
        <v>136.9303276730374</v>
      </c>
      <c r="AL82" s="147">
        <f t="shared" si="0"/>
        <v>20.798589669734348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 s="67" t="s">
        <v>85</v>
      </c>
      <c r="B83" s="64">
        <f>_xlfn.IFNA(INDEX(Table_INPUT_2D[X],MATCH(Table8[[#This Row],[UID]],Table_INPUT_2D[Unique ID],0)),"")</f>
        <v>10187.258</v>
      </c>
      <c r="C83" s="64">
        <f>_xlfn.IFNA(INDEX(Table_INPUT_2D[Y],MATCH(Table8[[#This Row],[UID]],Table_INPUT_2D[Unique ID],0)),"")</f>
        <v>4981.2969999999996</v>
      </c>
      <c r="D83" s="64">
        <f>_xlfn.IFNA(INDEX(Table_INPUT_2D[Z],MATCH(Table8[[#This Row],[UID]],Table_INPUT_2D[Unique ID],0)),"")</f>
        <v>201.03399999999999</v>
      </c>
      <c r="E83" s="65" t="s">
        <v>197</v>
      </c>
      <c r="G83" s="2" t="str">
        <f>IF($A$83 &lt;&gt; "",$A$83, "")</f>
        <v>MR9022</v>
      </c>
      <c r="H83" s="2">
        <f>IF($B$83 &lt;&gt; "",$B$83, "")</f>
        <v>10187.258</v>
      </c>
      <c r="I83" s="2">
        <f>IF($C$83 &lt;&gt; "",$C$83, "")</f>
        <v>4981.2969999999996</v>
      </c>
      <c r="J83" s="2">
        <f>IF($D$83 &lt;&gt; "",$D$83, "")</f>
        <v>201.03399999999999</v>
      </c>
      <c r="K83"/>
      <c r="L83"/>
      <c r="M83"/>
      <c r="N83"/>
      <c r="O83" s="56"/>
      <c r="P83"/>
      <c r="Q83"/>
      <c r="R83"/>
      <c r="S83"/>
      <c r="T83"/>
      <c r="U83"/>
      <c r="V83" s="156"/>
      <c r="W83" t="s">
        <v>115</v>
      </c>
      <c r="X83">
        <v>10</v>
      </c>
      <c r="Y83" s="147">
        <f>$O$161</f>
        <v>134.81168801652902</v>
      </c>
      <c r="Z83" s="202">
        <f>$X$23*($X$83/$X$83)+$Z$72</f>
        <v>-7.8124999991491251E-5</v>
      </c>
      <c r="AA83" s="147">
        <f>$Y$83-$Z$83</f>
        <v>134.81176614152901</v>
      </c>
      <c r="AB83" s="147">
        <f>$P$170</f>
        <v>20.862941097792728</v>
      </c>
      <c r="AC83" s="124" t="s">
        <v>115</v>
      </c>
      <c r="AD83" s="124">
        <v>10</v>
      </c>
      <c r="AE83" s="147">
        <f>$AA$83</f>
        <v>134.81176614152901</v>
      </c>
      <c r="AF83" s="202">
        <f>$AD$23*($AD$83/$AD$83)+$AF$72</f>
        <v>6.45983987590526E-3</v>
      </c>
      <c r="AG83" s="147">
        <f>$AE$83-$AF$83</f>
        <v>134.8053063016531</v>
      </c>
      <c r="AH83" s="147">
        <f>$AB$83</f>
        <v>20.862941097792728</v>
      </c>
      <c r="AI83"/>
      <c r="AJ83" t="s">
        <v>119</v>
      </c>
      <c r="AK83" s="147">
        <f>VLOOKUP($AJ$83,$AC$28:$AH$115,5,)</f>
        <v>138.01966813016551</v>
      </c>
      <c r="AL83" s="147">
        <f t="shared" si="0"/>
        <v>20.560995549827034</v>
      </c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 s="63" t="s">
        <v>22</v>
      </c>
      <c r="B84" s="64" t="str">
        <f>_xlfn.IFNA(INDEX(Table_INPUT_2D[X],MATCH(Table8[[#This Row],[UID]],Table_INPUT_2D[Unique ID],0)),"")</f>
        <v/>
      </c>
      <c r="C84" s="64" t="str">
        <f>_xlfn.IFNA(INDEX(Table_INPUT_2D[Y],MATCH(Table8[[#This Row],[UID]],Table_INPUT_2D[Unique ID],0)),"")</f>
        <v/>
      </c>
      <c r="D84" s="64" t="str">
        <f>_xlfn.IFNA(INDEX(Table_INPUT_2D[Z],MATCH(Table8[[#This Row],[UID]],Table_INPUT_2D[Unique ID],0)),"")</f>
        <v/>
      </c>
      <c r="E84" s="65"/>
      <c r="G84" s="2" t="str">
        <f>IF($A$84 &lt;&gt; "",$A$84, "")</f>
        <v>STATION</v>
      </c>
      <c r="H84" s="2" t="str">
        <f>IF($B$84 &lt;&gt; "",$B$84, "")</f>
        <v/>
      </c>
      <c r="I84" s="2" t="str">
        <f>IF($C$84 &lt;&gt; "",$C$84, "")</f>
        <v/>
      </c>
      <c r="J84" s="2" t="str">
        <f>IF($D$84 &lt;&gt; "",$D$84, "")</f>
        <v/>
      </c>
      <c r="K84"/>
      <c r="L84"/>
      <c r="M84"/>
      <c r="N84"/>
      <c r="O84" s="56"/>
      <c r="P84"/>
      <c r="Q84"/>
      <c r="R84"/>
      <c r="S84"/>
      <c r="T84"/>
      <c r="U84"/>
      <c r="V84" s="156"/>
      <c r="W84"/>
      <c r="X84"/>
      <c r="Y84" s="147"/>
      <c r="Z84" s="202"/>
      <c r="AA84" s="147"/>
      <c r="AB84" s="147"/>
      <c r="AC84" s="124"/>
      <c r="AD84" s="124"/>
      <c r="AE84" s="147"/>
      <c r="AF84" s="202"/>
      <c r="AG84" s="147"/>
      <c r="AH84" s="147"/>
      <c r="AI84"/>
      <c r="AJ84" t="s">
        <v>120</v>
      </c>
      <c r="AK84" s="147">
        <f>VLOOKUP($AJ$84,$AC$28:$AH$115,5,)</f>
        <v>138.92950858729361</v>
      </c>
      <c r="AL84" s="147">
        <f t="shared" si="0"/>
        <v>20.542981216221005</v>
      </c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 s="67" t="s">
        <v>85</v>
      </c>
      <c r="B85" s="64">
        <f>_xlfn.IFNA(INDEX(Table_INPUT_2D[X],MATCH(Table8[[#This Row],[UID]],Table_INPUT_2D[Unique ID],0)),"")</f>
        <v>10187.257</v>
      </c>
      <c r="C85" s="64">
        <f>_xlfn.IFNA(INDEX(Table_INPUT_2D[Y],MATCH(Table8[[#This Row],[UID]],Table_INPUT_2D[Unique ID],0)),"")</f>
        <v>4981.2920000000004</v>
      </c>
      <c r="D85" s="64">
        <f>_xlfn.IFNA(INDEX(Table_INPUT_2D[Z],MATCH(Table8[[#This Row],[UID]],Table_INPUT_2D[Unique ID],0)),"")</f>
        <v>201.024</v>
      </c>
      <c r="E85" s="65" t="s">
        <v>198</v>
      </c>
      <c r="G85" s="2" t="str">
        <f>IF($A$85 &lt;&gt; "",$A$85, "")</f>
        <v>MR9022</v>
      </c>
      <c r="H85" s="2">
        <f>IF($B$85 &lt;&gt; "",$B$85, "")</f>
        <v>10187.257</v>
      </c>
      <c r="I85" s="2">
        <f>IF($C$85 &lt;&gt; "",$C$85, "")</f>
        <v>4981.2920000000004</v>
      </c>
      <c r="J85" s="2">
        <f>IF($D$85 &lt;&gt; "",$D$85, "")</f>
        <v>201.024</v>
      </c>
      <c r="K85">
        <f>AVERAGE($H$85,$H$86)</f>
        <v>10187.255999999999</v>
      </c>
      <c r="L85">
        <f>AVERAGE($I$85,$I$86)</f>
        <v>4981.2910000000002</v>
      </c>
      <c r="M85">
        <f>AVERAGE($J$85,$J$86)</f>
        <v>201.02549999999999</v>
      </c>
      <c r="N85"/>
      <c r="O85" s="56">
        <f>$O$77</f>
        <v>119.83368801652902</v>
      </c>
      <c r="P85"/>
      <c r="Q85"/>
      <c r="R85"/>
      <c r="S85"/>
      <c r="T85"/>
      <c r="U85"/>
      <c r="V85" s="156">
        <v>6</v>
      </c>
      <c r="W85" t="s">
        <v>116</v>
      </c>
      <c r="X85">
        <v>1</v>
      </c>
      <c r="Y85" s="147">
        <f>$O$171</f>
        <v>135.65668801652902</v>
      </c>
      <c r="Z85" s="202">
        <f>$X$23*($X$85/$X$92)+$Z$83</f>
        <v>-8.0078124991278532E-5</v>
      </c>
      <c r="AA85" s="147">
        <f>$Y$85-$Z$85</f>
        <v>135.65676809465401</v>
      </c>
      <c r="AB85" s="147">
        <f>$P$172</f>
        <v>20.658613125039473</v>
      </c>
      <c r="AC85" s="124" t="s">
        <v>116</v>
      </c>
      <c r="AD85" s="124">
        <v>1</v>
      </c>
      <c r="AE85" s="147">
        <f>$AA$85</f>
        <v>135.65676809465401</v>
      </c>
      <c r="AF85" s="202">
        <f>$AD$23*($AD$85/$AD$92)+$AF$83</f>
        <v>6.6213358728028915E-3</v>
      </c>
      <c r="AG85" s="147">
        <f>$AE$85-$AF$85</f>
        <v>135.6501467587812</v>
      </c>
      <c r="AH85" s="147">
        <f>$AB$85</f>
        <v>20.658613125039473</v>
      </c>
      <c r="AI85"/>
      <c r="AJ85" t="s">
        <v>121</v>
      </c>
      <c r="AK85" s="147">
        <f>VLOOKUP($AJ$85,$AC$28:$AH$115,5,)</f>
        <v>139.82334904442175</v>
      </c>
      <c r="AL85" s="147">
        <f t="shared" si="0"/>
        <v>39.631412705075086</v>
      </c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 s="67" t="s">
        <v>85</v>
      </c>
      <c r="B86" s="64">
        <f>_xlfn.IFNA(INDEX(Table_INPUT_2D[X],MATCH(Table8[[#This Row],[UID]],Table_INPUT_2D[Unique ID],0)),"")</f>
        <v>10187.254999999999</v>
      </c>
      <c r="C86" s="64">
        <f>_xlfn.IFNA(INDEX(Table_INPUT_2D[Y],MATCH(Table8[[#This Row],[UID]],Table_INPUT_2D[Unique ID],0)),"")</f>
        <v>4981.29</v>
      </c>
      <c r="D86" s="64">
        <f>_xlfn.IFNA(INDEX(Table_INPUT_2D[Z],MATCH(Table8[[#This Row],[UID]],Table_INPUT_2D[Unique ID],0)),"")</f>
        <v>201.02699999999999</v>
      </c>
      <c r="E86" s="65" t="s">
        <v>199</v>
      </c>
      <c r="G86" s="2" t="str">
        <f>IF($A$86 &lt;&gt; "",$A$86, "")</f>
        <v>MR9022</v>
      </c>
      <c r="H86" s="2">
        <f>IF($B$86 &lt;&gt; "",$B$86, "")</f>
        <v>10187.254999999999</v>
      </c>
      <c r="I86" s="2">
        <f>IF($C$86 &lt;&gt; "",$C$86, "")</f>
        <v>4981.29</v>
      </c>
      <c r="J86" s="2">
        <f>IF($D$86 &lt;&gt; "",$D$86, "")</f>
        <v>201.02699999999999</v>
      </c>
      <c r="K86"/>
      <c r="L86"/>
      <c r="M86"/>
      <c r="N86">
        <f>$M$87-$M$85</f>
        <v>0.1314999999999884</v>
      </c>
      <c r="O86" s="56"/>
      <c r="P86">
        <f>SQRT(($K$87-$K$85)^2 +($L$87-$L$85)^2)</f>
        <v>21.080133544406614</v>
      </c>
      <c r="Q86"/>
      <c r="R86"/>
      <c r="S86"/>
      <c r="T86"/>
      <c r="U86"/>
      <c r="V86" s="156"/>
      <c r="W86" t="s">
        <v>117</v>
      </c>
      <c r="X86">
        <v>2</v>
      </c>
      <c r="Y86" s="147">
        <f>$O$173</f>
        <v>136.26968801652902</v>
      </c>
      <c r="Z86" s="202">
        <f>$X$23*($X$86/$X$92)+$Z$83</f>
        <v>-8.2031249991065813E-5</v>
      </c>
      <c r="AA86" s="147">
        <f>$Y$86-$Z$86</f>
        <v>136.26977004777902</v>
      </c>
      <c r="AB86" s="147">
        <f>$P$174</f>
        <v>17.864393307638235</v>
      </c>
      <c r="AC86" s="124" t="s">
        <v>117</v>
      </c>
      <c r="AD86" s="124">
        <v>2</v>
      </c>
      <c r="AE86" s="147">
        <f>$AA$86</f>
        <v>136.26977004777902</v>
      </c>
      <c r="AF86" s="202">
        <f>$AD$23*($AD$86/$AD$92)+$AF$83</f>
        <v>6.782831869700523E-3</v>
      </c>
      <c r="AG86" s="147">
        <f>$AE$86-$AF$86</f>
        <v>136.26298721590931</v>
      </c>
      <c r="AH86" s="147">
        <f>$AB$86</f>
        <v>17.864393307638235</v>
      </c>
      <c r="AI86"/>
      <c r="AJ86" t="s">
        <v>122</v>
      </c>
      <c r="AK86" s="147">
        <f>VLOOKUP($AJ$86,$AC$28:$AH$115,5,)</f>
        <v>141.63768950154983</v>
      </c>
      <c r="AL86" s="147">
        <f t="shared" si="0"/>
        <v>13.453987438673176</v>
      </c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 s="67" t="s">
        <v>86</v>
      </c>
      <c r="B87" s="64">
        <f>_xlfn.IFNA(INDEX(Table_INPUT_2D[X],MATCH(Table8[[#This Row],[UID]],Table_INPUT_2D[Unique ID],0)),"")</f>
        <v>10207.151</v>
      </c>
      <c r="C87" s="64">
        <f>_xlfn.IFNA(INDEX(Table_INPUT_2D[Y],MATCH(Table8[[#This Row],[UID]],Table_INPUT_2D[Unique ID],0)),"")</f>
        <v>4974.3220000000001</v>
      </c>
      <c r="D87" s="64">
        <f>_xlfn.IFNA(INDEX(Table_INPUT_2D[Z],MATCH(Table8[[#This Row],[UID]],Table_INPUT_2D[Unique ID],0)),"")</f>
        <v>201.15600000000001</v>
      </c>
      <c r="E87" s="65" t="s">
        <v>202</v>
      </c>
      <c r="G87" s="2" t="str">
        <f>IF($A$87 &lt;&gt; "",$A$87, "")</f>
        <v>MR9023</v>
      </c>
      <c r="H87" s="2">
        <f>IF($B$87 &lt;&gt; "",$B$87, "")</f>
        <v>10207.151</v>
      </c>
      <c r="I87" s="2">
        <f>IF($C$87 &lt;&gt; "",$C$87, "")</f>
        <v>4974.3220000000001</v>
      </c>
      <c r="J87" s="2">
        <f>IF($D$87 &lt;&gt; "",$D$87, "")</f>
        <v>201.15600000000001</v>
      </c>
      <c r="K87">
        <f>AVERAGE($H$87,$H$88)</f>
        <v>10207.1505</v>
      </c>
      <c r="L87">
        <f>AVERAGE($I$87,$I$88)</f>
        <v>4974.3209999999999</v>
      </c>
      <c r="M87">
        <f>AVERAGE($J$87,$J$88)</f>
        <v>201.15699999999998</v>
      </c>
      <c r="N87"/>
      <c r="O87" s="56">
        <f>$O$85+($N$86)</f>
        <v>119.96518801652901</v>
      </c>
      <c r="P87"/>
      <c r="Q87"/>
      <c r="R87"/>
      <c r="S87"/>
      <c r="T87"/>
      <c r="U87"/>
      <c r="V87" s="156"/>
      <c r="W87" t="s">
        <v>118</v>
      </c>
      <c r="X87">
        <v>3</v>
      </c>
      <c r="Y87" s="147">
        <f>$O$175</f>
        <v>136.93718801652901</v>
      </c>
      <c r="Z87" s="202">
        <f>$X$23*($X$87/$X$92)+$Z$83</f>
        <v>-8.3984374990853095E-5</v>
      </c>
      <c r="AA87" s="147">
        <f>$Y$87-$Z$87</f>
        <v>136.93727200090399</v>
      </c>
      <c r="AB87" s="147">
        <f>$P$176</f>
        <v>20.798589669734348</v>
      </c>
      <c r="AC87" s="124" t="s">
        <v>118</v>
      </c>
      <c r="AD87" s="124">
        <v>3</v>
      </c>
      <c r="AE87" s="147">
        <f>$AA$87</f>
        <v>136.93727200090399</v>
      </c>
      <c r="AF87" s="202">
        <f>$AD$23*($AD$87/$AD$92)+$AF$83</f>
        <v>6.9443278665981545E-3</v>
      </c>
      <c r="AG87" s="147">
        <f>$AE$87-$AF$87</f>
        <v>136.9303276730374</v>
      </c>
      <c r="AH87" s="147">
        <f>$AB$87</f>
        <v>20.798589669734348</v>
      </c>
      <c r="AI87"/>
      <c r="AJ87" t="s">
        <v>123</v>
      </c>
      <c r="AK87" s="147">
        <f>VLOOKUP($AJ$87,$AC$28:$AH$115,5,)</f>
        <v>142.25052995867793</v>
      </c>
      <c r="AL87" s="147">
        <f t="shared" si="0"/>
        <v>21.085348111899123</v>
      </c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 s="67" t="s">
        <v>86</v>
      </c>
      <c r="B88" s="64">
        <f>_xlfn.IFNA(INDEX(Table_INPUT_2D[X],MATCH(Table8[[#This Row],[UID]],Table_INPUT_2D[Unique ID],0)),"")</f>
        <v>10207.15</v>
      </c>
      <c r="C88" s="64">
        <f>_xlfn.IFNA(INDEX(Table_INPUT_2D[Y],MATCH(Table8[[#This Row],[UID]],Table_INPUT_2D[Unique ID],0)),"")</f>
        <v>4974.32</v>
      </c>
      <c r="D88" s="64">
        <f>_xlfn.IFNA(INDEX(Table_INPUT_2D[Z],MATCH(Table8[[#This Row],[UID]],Table_INPUT_2D[Unique ID],0)),"")</f>
        <v>201.15799999999999</v>
      </c>
      <c r="E88" s="65" t="s">
        <v>203</v>
      </c>
      <c r="G88" s="2" t="str">
        <f>IF($A$88 &lt;&gt; "",$A$88, "")</f>
        <v>MR9023</v>
      </c>
      <c r="H88" s="2">
        <f>IF($B$88 &lt;&gt; "",$B$88, "")</f>
        <v>10207.15</v>
      </c>
      <c r="I88" s="2">
        <f>IF($C$88 &lt;&gt; "",$C$88, "")</f>
        <v>4974.32</v>
      </c>
      <c r="J88" s="2">
        <f>IF($D$88 &lt;&gt; "",$D$88, "")</f>
        <v>201.15799999999999</v>
      </c>
      <c r="K88"/>
      <c r="L88"/>
      <c r="M88"/>
      <c r="N88">
        <f>$M$89-$M$87</f>
        <v>0.42800000000002569</v>
      </c>
      <c r="O88" s="56"/>
      <c r="P88">
        <f>SQRT(($K$89-$K$87)^2 +($L$89-$L$87)^2)</f>
        <v>26.366435220749693</v>
      </c>
      <c r="Q88"/>
      <c r="R88"/>
      <c r="S88"/>
      <c r="T88"/>
      <c r="U88"/>
      <c r="V88" s="156"/>
      <c r="W88" t="s">
        <v>119</v>
      </c>
      <c r="X88">
        <v>4</v>
      </c>
      <c r="Y88" s="147">
        <f>$O$177</f>
        <v>138.02668801652902</v>
      </c>
      <c r="Z88" s="202">
        <f>$X$23*($X$88/$X$92)+$Z$83</f>
        <v>-8.5937499990640376E-5</v>
      </c>
      <c r="AA88" s="147">
        <f>$Y$88-$Z$88</f>
        <v>138.02677395402901</v>
      </c>
      <c r="AB88" s="147">
        <f>$P$178</f>
        <v>20.560995549827034</v>
      </c>
      <c r="AC88" s="124" t="s">
        <v>119</v>
      </c>
      <c r="AD88" s="124">
        <v>4</v>
      </c>
      <c r="AE88" s="147">
        <f>$AA$88</f>
        <v>138.02677395402901</v>
      </c>
      <c r="AF88" s="202">
        <f>$AD$23*($AD$88/$AD$92)+$AF$83</f>
        <v>7.105823863495786E-3</v>
      </c>
      <c r="AG88" s="147">
        <f>$AE$88-$AF$88</f>
        <v>138.01966813016551</v>
      </c>
      <c r="AH88" s="147">
        <f>$AB$88</f>
        <v>20.560995549827034</v>
      </c>
      <c r="AI88"/>
      <c r="AJ88" t="s">
        <v>124</v>
      </c>
      <c r="AK88" s="147">
        <f>VLOOKUP($AJ$88,$AC$28:$AH$115,5,)</f>
        <v>142.67634762396722</v>
      </c>
      <c r="AL88" s="147">
        <f t="shared" si="0"/>
        <v>17.870330830737363</v>
      </c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 s="67" t="s">
        <v>87</v>
      </c>
      <c r="B89" s="64">
        <f>_xlfn.IFNA(INDEX(Table_INPUT_2D[X],MATCH(Table8[[#This Row],[UID]],Table_INPUT_2D[Unique ID],0)),"")</f>
        <v>10232.293</v>
      </c>
      <c r="C89" s="64">
        <f>_xlfn.IFNA(INDEX(Table_INPUT_2D[Y],MATCH(Table8[[#This Row],[UID]],Table_INPUT_2D[Unique ID],0)),"")</f>
        <v>4966.3810000000003</v>
      </c>
      <c r="D89" s="64">
        <f>_xlfn.IFNA(INDEX(Table_INPUT_2D[Z],MATCH(Table8[[#This Row],[UID]],Table_INPUT_2D[Unique ID],0)),"")</f>
        <v>201.58500000000001</v>
      </c>
      <c r="E89" s="65" t="s">
        <v>204</v>
      </c>
      <c r="G89" s="2" t="str">
        <f>IF($A$89 &lt;&gt; "",$A$89, "")</f>
        <v>MR9024</v>
      </c>
      <c r="H89" s="2">
        <f>IF($B$89 &lt;&gt; "",$B$89, "")</f>
        <v>10232.293</v>
      </c>
      <c r="I89" s="2">
        <f>IF($C$89 &lt;&gt; "",$C$89, "")</f>
        <v>4966.3810000000003</v>
      </c>
      <c r="J89" s="2">
        <f>IF($D$89 &lt;&gt; "",$D$89, "")</f>
        <v>201.58500000000001</v>
      </c>
      <c r="K89">
        <f>AVERAGE($H$89,$H$90)</f>
        <v>10232.293</v>
      </c>
      <c r="L89">
        <f>AVERAGE($I$89,$I$90)</f>
        <v>4966.3810000000003</v>
      </c>
      <c r="M89">
        <f>AVERAGE($J$89,$J$90)</f>
        <v>201.58500000000001</v>
      </c>
      <c r="N89"/>
      <c r="O89" s="56">
        <f>$O$87+($N$88)</f>
        <v>120.39318801652904</v>
      </c>
      <c r="P89"/>
      <c r="Q89"/>
      <c r="R89"/>
      <c r="S89"/>
      <c r="T89"/>
      <c r="U89"/>
      <c r="V89" s="156"/>
      <c r="W89" t="s">
        <v>120</v>
      </c>
      <c r="X89">
        <v>5</v>
      </c>
      <c r="Y89" s="147">
        <f>$O$179</f>
        <v>138.93668801652902</v>
      </c>
      <c r="Z89" s="202">
        <f>$X$23*($X$89/$X$92)+$Z$83</f>
        <v>-8.7890624990427657E-5</v>
      </c>
      <c r="AA89" s="147">
        <f>$Y$89-$Z$89</f>
        <v>138.93677590715401</v>
      </c>
      <c r="AB89" s="147">
        <f>$P$180</f>
        <v>20.542981216221005</v>
      </c>
      <c r="AC89" s="124" t="s">
        <v>120</v>
      </c>
      <c r="AD89" s="124">
        <v>5</v>
      </c>
      <c r="AE89" s="147">
        <f>$AA$89</f>
        <v>138.93677590715401</v>
      </c>
      <c r="AF89" s="202">
        <f>$AD$23*($AD$89/$AD$92)+$AF$83</f>
        <v>7.2673198603934175E-3</v>
      </c>
      <c r="AG89" s="147">
        <f>$AE$89-$AF$89</f>
        <v>138.92950858729361</v>
      </c>
      <c r="AH89" s="147">
        <f>$AB$89</f>
        <v>20.542981216221005</v>
      </c>
      <c r="AI89"/>
      <c r="AJ89" t="s">
        <v>125</v>
      </c>
      <c r="AK89" s="147">
        <f>VLOOKUP($AJ$89,$AC$28:$AH$115,5,)</f>
        <v>142.98916528925648</v>
      </c>
      <c r="AL89" s="147">
        <f t="shared" si="0"/>
        <v>21.047276700323575</v>
      </c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 s="67" t="s">
        <v>87</v>
      </c>
      <c r="B90" s="64">
        <f>_xlfn.IFNA(INDEX(Table_INPUT_2D[X],MATCH(Table8[[#This Row],[UID]],Table_INPUT_2D[Unique ID],0)),"")</f>
        <v>10232.293</v>
      </c>
      <c r="C90" s="64">
        <f>_xlfn.IFNA(INDEX(Table_INPUT_2D[Y],MATCH(Table8[[#This Row],[UID]],Table_INPUT_2D[Unique ID],0)),"")</f>
        <v>4966.3810000000003</v>
      </c>
      <c r="D90" s="64">
        <f>_xlfn.IFNA(INDEX(Table_INPUT_2D[Z],MATCH(Table8[[#This Row],[UID]],Table_INPUT_2D[Unique ID],0)),"")</f>
        <v>201.58500000000001</v>
      </c>
      <c r="E90" s="65" t="s">
        <v>205</v>
      </c>
      <c r="G90" s="2" t="str">
        <f>IF($A$90 &lt;&gt; "",$A$90, "")</f>
        <v>MR9024</v>
      </c>
      <c r="H90" s="2">
        <f>IF($B$90 &lt;&gt; "",$B$90, "")</f>
        <v>10232.293</v>
      </c>
      <c r="I90" s="2">
        <f>IF($C$90 &lt;&gt; "",$C$90, "")</f>
        <v>4966.3810000000003</v>
      </c>
      <c r="J90" s="2">
        <f>IF($D$90 &lt;&gt; "",$D$90, "")</f>
        <v>201.58500000000001</v>
      </c>
      <c r="K90"/>
      <c r="L90"/>
      <c r="M90"/>
      <c r="N90">
        <f>$M$91-$M$89</f>
        <v>0.42499999999998295</v>
      </c>
      <c r="O90" s="56"/>
      <c r="P90">
        <f>SQRT(($K$91-$K$89)^2 +($L$91-$L$89)^2)</f>
        <v>15.06019164884815</v>
      </c>
      <c r="Q90"/>
      <c r="R90"/>
      <c r="S90"/>
      <c r="T90"/>
      <c r="U90"/>
      <c r="V90" s="156"/>
      <c r="W90" t="s">
        <v>121</v>
      </c>
      <c r="X90">
        <v>6</v>
      </c>
      <c r="Y90" s="147">
        <f>$O$181</f>
        <v>139.83068801652902</v>
      </c>
      <c r="Z90" s="202">
        <f>$X$23*($X$90/$X$92)+$Z$83</f>
        <v>-8.9843749990214938E-5</v>
      </c>
      <c r="AA90" s="147">
        <f>$Y$90-$Z$90</f>
        <v>139.83077786027903</v>
      </c>
      <c r="AB90" s="147">
        <f>$P$182</f>
        <v>39.631412705075086</v>
      </c>
      <c r="AC90" s="124" t="s">
        <v>121</v>
      </c>
      <c r="AD90" s="124">
        <v>6</v>
      </c>
      <c r="AE90" s="147">
        <f>$AA$90</f>
        <v>139.83077786027903</v>
      </c>
      <c r="AF90" s="202">
        <f>$AD$23*($AD$90/$AD$92)+$AF$83</f>
        <v>7.428815857291049E-3</v>
      </c>
      <c r="AG90" s="147">
        <f>$AE$90-$AF$90</f>
        <v>139.82334904442175</v>
      </c>
      <c r="AH90" s="147">
        <f>$AB$90</f>
        <v>39.631412705075086</v>
      </c>
      <c r="AI90"/>
      <c r="AJ90" t="s">
        <v>126</v>
      </c>
      <c r="AK90" s="147">
        <f>VLOOKUP($AJ$90,$AC$28:$AH$115,5,)</f>
        <v>143.19298295454573</v>
      </c>
      <c r="AL90" s="147">
        <f t="shared" si="0"/>
        <v>17.747844178941762</v>
      </c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 s="67" t="s">
        <v>88</v>
      </c>
      <c r="B91" s="64">
        <f>_xlfn.IFNA(INDEX(Table_INPUT_2D[X],MATCH(Table8[[#This Row],[UID]],Table_INPUT_2D[Unique ID],0)),"")</f>
        <v>10246.522000000001</v>
      </c>
      <c r="C91" s="64">
        <f>_xlfn.IFNA(INDEX(Table_INPUT_2D[Y],MATCH(Table8[[#This Row],[UID]],Table_INPUT_2D[Unique ID],0)),"")</f>
        <v>4961.4459999999999</v>
      </c>
      <c r="D91" s="64">
        <f>_xlfn.IFNA(INDEX(Table_INPUT_2D[Z],MATCH(Table8[[#This Row],[UID]],Table_INPUT_2D[Unique ID],0)),"")</f>
        <v>202.01</v>
      </c>
      <c r="E91" s="65" t="s">
        <v>206</v>
      </c>
      <c r="G91" s="2" t="str">
        <f>IF($A$91 &lt;&gt; "",$A$91, "")</f>
        <v>MR9025</v>
      </c>
      <c r="H91" s="2">
        <f>IF($B$91 &lt;&gt; "",$B$91, "")</f>
        <v>10246.522000000001</v>
      </c>
      <c r="I91" s="2">
        <f>IF($C$91 &lt;&gt; "",$C$91, "")</f>
        <v>4961.4459999999999</v>
      </c>
      <c r="J91" s="2">
        <f>IF($D$91 &lt;&gt; "",$D$91, "")</f>
        <v>202.01</v>
      </c>
      <c r="K91">
        <f>AVERAGE($H$91,$H$92)</f>
        <v>10246.521500000001</v>
      </c>
      <c r="L91">
        <f>AVERAGE($I$91,$I$92)</f>
        <v>4961.4454999999998</v>
      </c>
      <c r="M91">
        <f>AVERAGE($J$91,$J$92)</f>
        <v>202.01</v>
      </c>
      <c r="N91"/>
      <c r="O91" s="56">
        <f>$O$89+($N$90)</f>
        <v>120.81818801652902</v>
      </c>
      <c r="P91"/>
      <c r="Q91"/>
      <c r="R91"/>
      <c r="S91"/>
      <c r="T91"/>
      <c r="U91"/>
      <c r="V91" s="156"/>
      <c r="W91" t="s">
        <v>122</v>
      </c>
      <c r="X91">
        <v>7</v>
      </c>
      <c r="Y91" s="147">
        <f>$O$183</f>
        <v>141.64518801652903</v>
      </c>
      <c r="Z91" s="202">
        <f>$X$23*($X$91/$X$92)+$Z$83</f>
        <v>-9.179687499000222E-5</v>
      </c>
      <c r="AA91" s="147">
        <f>$Y$91-$Z$91</f>
        <v>141.64527981340402</v>
      </c>
      <c r="AB91" s="147">
        <f>$P$184</f>
        <v>13.453987438673176</v>
      </c>
      <c r="AC91" s="124" t="s">
        <v>122</v>
      </c>
      <c r="AD91" s="124">
        <v>7</v>
      </c>
      <c r="AE91" s="147">
        <f>$AA$91</f>
        <v>141.64527981340402</v>
      </c>
      <c r="AF91" s="202">
        <f>$AD$23*($AD$91/$AD$92)+$AF$83</f>
        <v>7.5903118541886805E-3</v>
      </c>
      <c r="AG91" s="147">
        <f>$AE$91-$AF$91</f>
        <v>141.63768950154983</v>
      </c>
      <c r="AH91" s="147">
        <f>$AB$91</f>
        <v>13.453987438673176</v>
      </c>
      <c r="AI91"/>
      <c r="AJ91" t="s">
        <v>127</v>
      </c>
      <c r="AK91" s="147">
        <f>VLOOKUP($AJ$91,$AC$28:$AH$115,5,)</f>
        <v>143.73830061983494</v>
      </c>
      <c r="AL91" s="147">
        <f t="shared" si="0"/>
        <v>20.506394185717561</v>
      </c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 s="67" t="s">
        <v>88</v>
      </c>
      <c r="B92" s="64">
        <f>_xlfn.IFNA(INDEX(Table_INPUT_2D[X],MATCH(Table8[[#This Row],[UID]],Table_INPUT_2D[Unique ID],0)),"")</f>
        <v>10246.521000000001</v>
      </c>
      <c r="C92" s="64">
        <f>_xlfn.IFNA(INDEX(Table_INPUT_2D[Y],MATCH(Table8[[#This Row],[UID]],Table_INPUT_2D[Unique ID],0)),"")</f>
        <v>4961.4449999999997</v>
      </c>
      <c r="D92" s="64">
        <f>_xlfn.IFNA(INDEX(Table_INPUT_2D[Z],MATCH(Table8[[#This Row],[UID]],Table_INPUT_2D[Unique ID],0)),"")</f>
        <v>202.01</v>
      </c>
      <c r="E92" s="65" t="s">
        <v>207</v>
      </c>
      <c r="G92" s="2" t="str">
        <f>IF($A$92 &lt;&gt; "",$A$92, "")</f>
        <v>MR9025</v>
      </c>
      <c r="H92" s="2">
        <f>IF($B$92 &lt;&gt; "",$B$92, "")</f>
        <v>10246.521000000001</v>
      </c>
      <c r="I92" s="2">
        <f>IF($C$92 &lt;&gt; "",$C$92, "")</f>
        <v>4961.4449999999997</v>
      </c>
      <c r="J92" s="2">
        <f>IF($D$92 &lt;&gt; "",$D$92, "")</f>
        <v>202.01</v>
      </c>
      <c r="K92"/>
      <c r="L92"/>
      <c r="M92"/>
      <c r="N92">
        <f>$M$93-$M$91</f>
        <v>0.43600000000000705</v>
      </c>
      <c r="O92" s="56"/>
      <c r="P92">
        <f>SQRT(($K$93-$K$91)^2 +($L$93-$L$91)^2)</f>
        <v>17.809766997352771</v>
      </c>
      <c r="Q92"/>
      <c r="R92"/>
      <c r="S92"/>
      <c r="T92"/>
      <c r="U92"/>
      <c r="V92" s="156"/>
      <c r="W92" t="s">
        <v>123</v>
      </c>
      <c r="X92">
        <v>8</v>
      </c>
      <c r="Y92" s="147">
        <f>$O$185</f>
        <v>142.25818801652903</v>
      </c>
      <c r="Z92" s="202">
        <f>$X$23*($X$92/$X$92)+$Z$83</f>
        <v>-9.3749999989789501E-5</v>
      </c>
      <c r="AA92" s="147">
        <f>$Y$92-$Z$92</f>
        <v>142.25828176652902</v>
      </c>
      <c r="AB92" s="147">
        <f>$P$194</f>
        <v>21.085348111899123</v>
      </c>
      <c r="AC92" s="124" t="s">
        <v>123</v>
      </c>
      <c r="AD92" s="124">
        <v>8</v>
      </c>
      <c r="AE92" s="147">
        <f>$AA$92</f>
        <v>142.25828176652902</v>
      </c>
      <c r="AF92" s="202">
        <f>$AD$23*($AD$92/$AD$92)+$AF$83</f>
        <v>7.751807851086312E-3</v>
      </c>
      <c r="AG92" s="147">
        <f>$AE$92-$AF$92</f>
        <v>142.25052995867793</v>
      </c>
      <c r="AH92" s="147">
        <f>$AB$92</f>
        <v>21.085348111899123</v>
      </c>
      <c r="AI92"/>
      <c r="AJ92" t="s">
        <v>128</v>
      </c>
      <c r="AK92" s="147">
        <f>VLOOKUP($AJ$92,$AC$28:$AH$115,5,)</f>
        <v>145.18561828512424</v>
      </c>
      <c r="AL92" s="147">
        <f t="shared" ref="AL92:AL155" si="1">IF(VLOOKUP($AJ92,$AC$28:$AH$179,6,)=0,"",VLOOKUP($AJ92,$AC$28:$AH$179,6,))</f>
        <v>20.576342465316046</v>
      </c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 s="67" t="s">
        <v>89</v>
      </c>
      <c r="B93" s="64">
        <f>_xlfn.IFNA(INDEX(Table_INPUT_2D[X],MATCH(Table8[[#This Row],[UID]],Table_INPUT_2D[Unique ID],0)),"")</f>
        <v>10263.272000000001</v>
      </c>
      <c r="C93" s="64">
        <f>_xlfn.IFNA(INDEX(Table_INPUT_2D[Y],MATCH(Table8[[#This Row],[UID]],Table_INPUT_2D[Unique ID],0)),"")</f>
        <v>4955.3950000000004</v>
      </c>
      <c r="D93" s="64">
        <f>_xlfn.IFNA(INDEX(Table_INPUT_2D[Z],MATCH(Table8[[#This Row],[UID]],Table_INPUT_2D[Unique ID],0)),"")</f>
        <v>202.446</v>
      </c>
      <c r="E93" s="65" t="s">
        <v>208</v>
      </c>
      <c r="G93" s="2" t="str">
        <f>IF($A$93 &lt;&gt; "",$A$93, "")</f>
        <v>MR9026</v>
      </c>
      <c r="H93" s="2">
        <f>IF($B$93 &lt;&gt; "",$B$93, "")</f>
        <v>10263.272000000001</v>
      </c>
      <c r="I93" s="2">
        <f>IF($C$93 &lt;&gt; "",$C$93, "")</f>
        <v>4955.3950000000004</v>
      </c>
      <c r="J93" s="2">
        <f>IF($D$93 &lt;&gt; "",$D$93, "")</f>
        <v>202.446</v>
      </c>
      <c r="K93">
        <f>AVERAGE($H$93,$H$94)</f>
        <v>10263.272000000001</v>
      </c>
      <c r="L93">
        <f>AVERAGE($I$93,$I$94)</f>
        <v>4955.3950000000004</v>
      </c>
      <c r="M93">
        <f>AVERAGE($J$93,$J$94)</f>
        <v>202.446</v>
      </c>
      <c r="N93"/>
      <c r="O93" s="56">
        <f>$O$91+($N$92)</f>
        <v>121.25418801652903</v>
      </c>
      <c r="P93"/>
      <c r="Q93"/>
      <c r="R93"/>
      <c r="S93"/>
      <c r="T93"/>
      <c r="U93"/>
      <c r="V93" s="156"/>
      <c r="W93"/>
      <c r="X93"/>
      <c r="Y93" s="147"/>
      <c r="Z93" s="202"/>
      <c r="AA93" s="147"/>
      <c r="AB93" s="147"/>
      <c r="AC93" s="124"/>
      <c r="AD93" s="124"/>
      <c r="AE93" s="147"/>
      <c r="AF93" s="202"/>
      <c r="AG93" s="147"/>
      <c r="AH93" s="147"/>
      <c r="AI93"/>
      <c r="AJ93" t="s">
        <v>129</v>
      </c>
      <c r="AK93" s="147">
        <f>VLOOKUP($AJ$93,$AC$28:$AH$115,5,)</f>
        <v>146.42093595041351</v>
      </c>
      <c r="AL93" s="147">
        <f t="shared" si="1"/>
        <v>21.558538041805811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 s="67" t="s">
        <v>89</v>
      </c>
      <c r="B94" s="64">
        <f>_xlfn.IFNA(INDEX(Table_INPUT_2D[X],MATCH(Table8[[#This Row],[UID]],Table_INPUT_2D[Unique ID],0)),"")</f>
        <v>10263.272000000001</v>
      </c>
      <c r="C94" s="64">
        <f>_xlfn.IFNA(INDEX(Table_INPUT_2D[Y],MATCH(Table8[[#This Row],[UID]],Table_INPUT_2D[Unique ID],0)),"")</f>
        <v>4955.3950000000004</v>
      </c>
      <c r="D94" s="64">
        <f>_xlfn.IFNA(INDEX(Table_INPUT_2D[Z],MATCH(Table8[[#This Row],[UID]],Table_INPUT_2D[Unique ID],0)),"")</f>
        <v>202.446</v>
      </c>
      <c r="E94" s="65" t="s">
        <v>209</v>
      </c>
      <c r="G94" s="2" t="str">
        <f>IF($A$94 &lt;&gt; "",$A$94, "")</f>
        <v>MR9026</v>
      </c>
      <c r="H94" s="2">
        <f>IF($B$94 &lt;&gt; "",$B$94, "")</f>
        <v>10263.272000000001</v>
      </c>
      <c r="I94" s="2">
        <f>IF($C$94 &lt;&gt; "",$C$94, "")</f>
        <v>4955.3950000000004</v>
      </c>
      <c r="J94" s="2">
        <f>IF($D$94 &lt;&gt; "",$D$94, "")</f>
        <v>202.446</v>
      </c>
      <c r="K94"/>
      <c r="L94"/>
      <c r="M94"/>
      <c r="N94">
        <f>$M$95-$M$93</f>
        <v>0.5105000000000075</v>
      </c>
      <c r="O94" s="56"/>
      <c r="P94">
        <f>SQRT(($K$95-$K$93)^2 +($L$95-$L$93)^2)</f>
        <v>21.039688573027487</v>
      </c>
      <c r="Q94"/>
      <c r="R94"/>
      <c r="S94"/>
      <c r="T94"/>
      <c r="U94"/>
      <c r="V94" s="156">
        <v>7</v>
      </c>
      <c r="W94" t="s">
        <v>124</v>
      </c>
      <c r="X94">
        <v>1</v>
      </c>
      <c r="Y94" s="147">
        <f>$O$195</f>
        <v>142.68418801652905</v>
      </c>
      <c r="Z94" s="202">
        <f>$X$23*($X$94/$X$100)+$Z$92</f>
        <v>-9.5982142846689247E-5</v>
      </c>
      <c r="AA94" s="147">
        <f>$Y$94-$Z$94</f>
        <v>142.6842839986719</v>
      </c>
      <c r="AB94" s="147">
        <f>$P$196</f>
        <v>17.870330830737363</v>
      </c>
      <c r="AC94" s="124" t="s">
        <v>124</v>
      </c>
      <c r="AD94" s="124">
        <v>1</v>
      </c>
      <c r="AE94" s="147">
        <f>$AA$94</f>
        <v>142.6842839986719</v>
      </c>
      <c r="AF94" s="202">
        <f>$AD$23*($AD$94/$AD$100)+$AF$92</f>
        <v>7.9363747046836044E-3</v>
      </c>
      <c r="AG94" s="147">
        <f>$AE$94-$AF$94</f>
        <v>142.67634762396722</v>
      </c>
      <c r="AH94" s="147">
        <f>$AB$94</f>
        <v>17.870330830737363</v>
      </c>
      <c r="AI94"/>
      <c r="AJ94" t="s">
        <v>130</v>
      </c>
      <c r="AK94" s="147">
        <f>VLOOKUP($AJ$94,$AC$28:$AH$115,5,)</f>
        <v>147.94075361570279</v>
      </c>
      <c r="AL94" s="147">
        <f t="shared" si="1"/>
        <v>20.022202307688168</v>
      </c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 s="67" t="s">
        <v>90</v>
      </c>
      <c r="B95" s="64">
        <f>_xlfn.IFNA(INDEX(Table_INPUT_2D[X],MATCH(Table8[[#This Row],[UID]],Table_INPUT_2D[Unique ID],0)),"")</f>
        <v>10283.055</v>
      </c>
      <c r="C95" s="64">
        <f>_xlfn.IFNA(INDEX(Table_INPUT_2D[Y],MATCH(Table8[[#This Row],[UID]],Table_INPUT_2D[Unique ID],0)),"")</f>
        <v>4948.232</v>
      </c>
      <c r="D95" s="64">
        <f>_xlfn.IFNA(INDEX(Table_INPUT_2D[Z],MATCH(Table8[[#This Row],[UID]],Table_INPUT_2D[Unique ID],0)),"")</f>
        <v>202.95699999999999</v>
      </c>
      <c r="E95" s="65" t="s">
        <v>210</v>
      </c>
      <c r="G95" s="2" t="str">
        <f>IF($A$95 &lt;&gt; "",$A$95, "")</f>
        <v>MR9027</v>
      </c>
      <c r="H95" s="2">
        <f>IF($B$95 &lt;&gt; "",$B$95, "")</f>
        <v>10283.055</v>
      </c>
      <c r="I95" s="2">
        <f>IF($C$95 &lt;&gt; "",$C$95, "")</f>
        <v>4948.232</v>
      </c>
      <c r="J95" s="2">
        <f>IF($D$95 &lt;&gt; "",$D$95, "")</f>
        <v>202.95699999999999</v>
      </c>
      <c r="K95">
        <f>AVERAGE($H$95,$H$96)</f>
        <v>10283.055</v>
      </c>
      <c r="L95">
        <f>AVERAGE($I$95,$I$96)</f>
        <v>4948.2325000000001</v>
      </c>
      <c r="M95">
        <f>AVERAGE($J$95,$J$96)</f>
        <v>202.95650000000001</v>
      </c>
      <c r="N95"/>
      <c r="O95" s="56">
        <f>$O$93+($N$94)</f>
        <v>121.76468801652904</v>
      </c>
      <c r="P95"/>
      <c r="Q95"/>
      <c r="R95"/>
      <c r="S95"/>
      <c r="T95"/>
      <c r="U95"/>
      <c r="V95" s="156"/>
      <c r="W95" t="s">
        <v>125</v>
      </c>
      <c r="X95">
        <v>2</v>
      </c>
      <c r="Y95" s="147">
        <f>$O$197</f>
        <v>142.99718801652904</v>
      </c>
      <c r="Z95" s="202">
        <f>$X$23*($X$95/$X$100)+$Z$92</f>
        <v>-9.8214285703589007E-5</v>
      </c>
      <c r="AA95" s="147">
        <f>$Y$95-$Z$95</f>
        <v>142.99728623081475</v>
      </c>
      <c r="AB95" s="147">
        <f>$P$198</f>
        <v>21.047276700323575</v>
      </c>
      <c r="AC95" s="124" t="s">
        <v>125</v>
      </c>
      <c r="AD95" s="124">
        <v>2</v>
      </c>
      <c r="AE95" s="147">
        <f>$AA$95</f>
        <v>142.99728623081475</v>
      </c>
      <c r="AF95" s="202">
        <f>$AD$23*($AD$95/$AD$100)+$AF$92</f>
        <v>8.1209415582808985E-3</v>
      </c>
      <c r="AG95" s="147">
        <f>$AE$95-$AF$95</f>
        <v>142.98916528925648</v>
      </c>
      <c r="AH95" s="147">
        <f>$AB$95</f>
        <v>21.047276700323575</v>
      </c>
      <c r="AI95"/>
      <c r="AJ95" t="s">
        <v>131</v>
      </c>
      <c r="AK95" s="147">
        <f>VLOOKUP($AJ$95,$AC$28:$AH$115,5,)</f>
        <v>149.60807128099202</v>
      </c>
      <c r="AL95" s="147">
        <f t="shared" si="1"/>
        <v>19.747360431207085</v>
      </c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 s="67" t="s">
        <v>90</v>
      </c>
      <c r="B96" s="64">
        <f>_xlfn.IFNA(INDEX(Table_INPUT_2D[X],MATCH(Table8[[#This Row],[UID]],Table_INPUT_2D[Unique ID],0)),"")</f>
        <v>10283.055</v>
      </c>
      <c r="C96" s="64">
        <f>_xlfn.IFNA(INDEX(Table_INPUT_2D[Y],MATCH(Table8[[#This Row],[UID]],Table_INPUT_2D[Unique ID],0)),"")</f>
        <v>4948.2330000000002</v>
      </c>
      <c r="D96" s="64">
        <f>_xlfn.IFNA(INDEX(Table_INPUT_2D[Z],MATCH(Table8[[#This Row],[UID]],Table_INPUT_2D[Unique ID],0)),"")</f>
        <v>202.95599999999999</v>
      </c>
      <c r="E96" s="65" t="s">
        <v>211</v>
      </c>
      <c r="G96" s="2" t="str">
        <f>IF($A$96 &lt;&gt; "",$A$96, "")</f>
        <v>MR9027</v>
      </c>
      <c r="H96" s="2">
        <f>IF($B$96 &lt;&gt; "",$B$96, "")</f>
        <v>10283.055</v>
      </c>
      <c r="I96" s="2">
        <f>IF($C$96 &lt;&gt; "",$C$96, "")</f>
        <v>4948.2330000000002</v>
      </c>
      <c r="J96" s="2">
        <f>IF($D$96 &lt;&gt; "",$D$96, "")</f>
        <v>202.95599999999999</v>
      </c>
      <c r="K96"/>
      <c r="L96"/>
      <c r="M96"/>
      <c r="N96">
        <f>$M$97-$M$95</f>
        <v>0.3855000000000075</v>
      </c>
      <c r="O96" s="56"/>
      <c r="P96">
        <f>SQRT(($K$97-$K$95)^2 +($L$97-$L$95)^2)</f>
        <v>21.113323121905907</v>
      </c>
      <c r="Q96"/>
      <c r="R96"/>
      <c r="S96"/>
      <c r="T96"/>
      <c r="U96"/>
      <c r="V96" s="156"/>
      <c r="W96" t="s">
        <v>126</v>
      </c>
      <c r="X96">
        <v>3</v>
      </c>
      <c r="Y96" s="147">
        <f>$O$199</f>
        <v>143.20118801652904</v>
      </c>
      <c r="Z96" s="202">
        <f>$X$23*($X$96/$X$100)+$Z$92</f>
        <v>-1.0044642856048875E-4</v>
      </c>
      <c r="AA96" s="147">
        <f>$Y$96-$Z$96</f>
        <v>143.20128846295759</v>
      </c>
      <c r="AB96" s="147">
        <f>$P$200</f>
        <v>17.747844178941762</v>
      </c>
      <c r="AC96" s="124" t="s">
        <v>126</v>
      </c>
      <c r="AD96" s="124">
        <v>3</v>
      </c>
      <c r="AE96" s="147">
        <f>$AA$96</f>
        <v>143.20128846295759</v>
      </c>
      <c r="AF96" s="202">
        <f>$AD$23*($AD$96/$AD$100)+$AF$92</f>
        <v>8.3055084118781909E-3</v>
      </c>
      <c r="AG96" s="147">
        <f>$AE$96-$AF$96</f>
        <v>143.19298295454573</v>
      </c>
      <c r="AH96" s="147">
        <f>$AB$96</f>
        <v>17.747844178941762</v>
      </c>
      <c r="AI96"/>
      <c r="AJ96" t="s">
        <v>132</v>
      </c>
      <c r="AK96" s="147">
        <f>VLOOKUP($AJ$96,$AC$28:$AH$115,5,)</f>
        <v>151.35188894628126</v>
      </c>
      <c r="AL96" s="147">
        <f t="shared" si="1"/>
        <v>21.080644184891856</v>
      </c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 s="67" t="s">
        <v>91</v>
      </c>
      <c r="B97" s="64">
        <f>_xlfn.IFNA(INDEX(Table_INPUT_2D[X],MATCH(Table8[[#This Row],[UID]],Table_INPUT_2D[Unique ID],0)),"")</f>
        <v>10302.904</v>
      </c>
      <c r="C97" s="64">
        <f>_xlfn.IFNA(INDEX(Table_INPUT_2D[Y],MATCH(Table8[[#This Row],[UID]],Table_INPUT_2D[Unique ID],0)),"")</f>
        <v>4941.0360000000001</v>
      </c>
      <c r="D97" s="64">
        <f>_xlfn.IFNA(INDEX(Table_INPUT_2D[Z],MATCH(Table8[[#This Row],[UID]],Table_INPUT_2D[Unique ID],0)),"")</f>
        <v>203.34200000000001</v>
      </c>
      <c r="E97" s="65" t="s">
        <v>212</v>
      </c>
      <c r="G97" s="2" t="str">
        <f>IF($A$97 &lt;&gt; "",$A$97, "")</f>
        <v>MR9028</v>
      </c>
      <c r="H97" s="2">
        <f>IF($B$97 &lt;&gt; "",$B$97, "")</f>
        <v>10302.904</v>
      </c>
      <c r="I97" s="2">
        <f>IF($C$97 &lt;&gt; "",$C$97, "")</f>
        <v>4941.0360000000001</v>
      </c>
      <c r="J97" s="2">
        <f>IF($D$97 &lt;&gt; "",$D$97, "")</f>
        <v>203.34200000000001</v>
      </c>
      <c r="K97">
        <f>AVERAGE($H$97,$H$98)</f>
        <v>10302.904</v>
      </c>
      <c r="L97">
        <f>AVERAGE($I$97,$I$98)</f>
        <v>4941.0360000000001</v>
      </c>
      <c r="M97">
        <f>AVERAGE($J$97,$J$98)</f>
        <v>203.34200000000001</v>
      </c>
      <c r="N97"/>
      <c r="O97" s="56">
        <f>$O$95+($N$96)</f>
        <v>122.15018801652904</v>
      </c>
      <c r="P97"/>
      <c r="Q97"/>
      <c r="R97"/>
      <c r="S97"/>
      <c r="T97"/>
      <c r="U97"/>
      <c r="V97" s="156"/>
      <c r="W97" t="s">
        <v>127</v>
      </c>
      <c r="X97">
        <v>4</v>
      </c>
      <c r="Y97" s="147">
        <f>$O$201</f>
        <v>143.74668801652902</v>
      </c>
      <c r="Z97" s="202">
        <f>$X$23*($X$97/$X$100)+$Z$92</f>
        <v>-1.026785714173885E-4</v>
      </c>
      <c r="AA97" s="147">
        <f>$Y$97-$Z$97</f>
        <v>143.74679069510043</v>
      </c>
      <c r="AB97" s="147">
        <f>$P$202</f>
        <v>20.506394185717561</v>
      </c>
      <c r="AC97" s="124" t="s">
        <v>127</v>
      </c>
      <c r="AD97" s="124">
        <v>4</v>
      </c>
      <c r="AE97" s="147">
        <f>$AA$97</f>
        <v>143.74679069510043</v>
      </c>
      <c r="AF97" s="202">
        <f>$AD$23*($AD$97/$AD$100)+$AF$92</f>
        <v>8.4900752654754851E-3</v>
      </c>
      <c r="AG97" s="147">
        <f>$AE$97-$AF$97</f>
        <v>143.73830061983494</v>
      </c>
      <c r="AH97" s="147">
        <f>$AB$97</f>
        <v>20.506394185717561</v>
      </c>
      <c r="AI97"/>
      <c r="AJ97" t="s">
        <v>133</v>
      </c>
      <c r="AK97" s="147">
        <f>VLOOKUP($AJ$97,$AC$28:$AH$115,5,)</f>
        <v>153.31370661157052</v>
      </c>
      <c r="AL97" s="147">
        <f t="shared" si="1"/>
        <v>19.639269487431655</v>
      </c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 s="67" t="s">
        <v>91</v>
      </c>
      <c r="B98" s="64">
        <f>_xlfn.IFNA(INDEX(Table_INPUT_2D[X],MATCH(Table8[[#This Row],[UID]],Table_INPUT_2D[Unique ID],0)),"")</f>
        <v>10302.904</v>
      </c>
      <c r="C98" s="64">
        <f>_xlfn.IFNA(INDEX(Table_INPUT_2D[Y],MATCH(Table8[[#This Row],[UID]],Table_INPUT_2D[Unique ID],0)),"")</f>
        <v>4941.0360000000001</v>
      </c>
      <c r="D98" s="64">
        <f>_xlfn.IFNA(INDEX(Table_INPUT_2D[Z],MATCH(Table8[[#This Row],[UID]],Table_INPUT_2D[Unique ID],0)),"")</f>
        <v>203.34200000000001</v>
      </c>
      <c r="E98" s="65" t="s">
        <v>213</v>
      </c>
      <c r="G98" s="2" t="str">
        <f>IF($A$98 &lt;&gt; "",$A$98, "")</f>
        <v>MR9028</v>
      </c>
      <c r="H98" s="2">
        <f>IF($B$98 &lt;&gt; "",$B$98, "")</f>
        <v>10302.904</v>
      </c>
      <c r="I98" s="2">
        <f>IF($C$98 &lt;&gt; "",$C$98, "")</f>
        <v>4941.0360000000001</v>
      </c>
      <c r="J98" s="2">
        <f>IF($D$98 &lt;&gt; "",$D$98, "")</f>
        <v>203.34200000000001</v>
      </c>
      <c r="K98"/>
      <c r="L98"/>
      <c r="M98"/>
      <c r="N98">
        <f>$M$99-$M$97</f>
        <v>0.31749999999996703</v>
      </c>
      <c r="O98" s="56"/>
      <c r="P98">
        <f>SQRT(($K$99-$K$97)^2 +($L$99-$L$97)^2)</f>
        <v>17.941484693302574</v>
      </c>
      <c r="Q98"/>
      <c r="R98"/>
      <c r="S98"/>
      <c r="T98"/>
      <c r="U98"/>
      <c r="V98" s="156"/>
      <c r="W98" t="s">
        <v>128</v>
      </c>
      <c r="X98">
        <v>5</v>
      </c>
      <c r="Y98" s="147">
        <f>$O$203</f>
        <v>145.19418801652904</v>
      </c>
      <c r="Z98" s="202">
        <f>$X$23*($X$98/$X$100)+$Z$92</f>
        <v>-1.0491071427428826E-4</v>
      </c>
      <c r="AA98" s="147">
        <f>$Y$98-$Z$98</f>
        <v>145.19429292724331</v>
      </c>
      <c r="AB98" s="147">
        <f>$P$204</f>
        <v>20.576342465316046</v>
      </c>
      <c r="AC98" s="124" t="s">
        <v>128</v>
      </c>
      <c r="AD98" s="124">
        <v>5</v>
      </c>
      <c r="AE98" s="147">
        <f>$AA$98</f>
        <v>145.19429292724331</v>
      </c>
      <c r="AF98" s="202">
        <f>$AD$23*($AD$98/$AD$100)+$AF$92</f>
        <v>8.6746421190727774E-3</v>
      </c>
      <c r="AG98" s="147">
        <f>$AE$98-$AF$98</f>
        <v>145.18561828512424</v>
      </c>
      <c r="AH98" s="147">
        <f>$AB$98</f>
        <v>20.576342465316046</v>
      </c>
      <c r="AI98"/>
      <c r="AJ98" t="s">
        <v>134</v>
      </c>
      <c r="AK98" s="147">
        <f>VLOOKUP($AJ$98,$AC$28:$AH$115,5,)</f>
        <v>154.91452427685979</v>
      </c>
      <c r="AL98" s="147">
        <f t="shared" si="1"/>
        <v>19.626680749683178</v>
      </c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 s="67" t="s">
        <v>92</v>
      </c>
      <c r="B99" s="64">
        <f>_xlfn.IFNA(INDEX(Table_INPUT_2D[X],MATCH(Table8[[#This Row],[UID]],Table_INPUT_2D[Unique ID],0)),"")</f>
        <v>10319.781000000001</v>
      </c>
      <c r="C99" s="64">
        <f>_xlfn.IFNA(INDEX(Table_INPUT_2D[Y],MATCH(Table8[[#This Row],[UID]],Table_INPUT_2D[Unique ID],0)),"")</f>
        <v>4934.9480000000003</v>
      </c>
      <c r="D99" s="64">
        <f>_xlfn.IFNA(INDEX(Table_INPUT_2D[Z],MATCH(Table8[[#This Row],[UID]],Table_INPUT_2D[Unique ID],0)),"")</f>
        <v>203.65899999999999</v>
      </c>
      <c r="E99" s="65" t="s">
        <v>214</v>
      </c>
      <c r="G99" s="2" t="str">
        <f>IF($A$99 &lt;&gt; "",$A$99, "")</f>
        <v>MR9029</v>
      </c>
      <c r="H99" s="2">
        <f>IF($B$99 &lt;&gt; "",$B$99, "")</f>
        <v>10319.781000000001</v>
      </c>
      <c r="I99" s="2">
        <f>IF($C$99 &lt;&gt; "",$C$99, "")</f>
        <v>4934.9480000000003</v>
      </c>
      <c r="J99" s="2">
        <f>IF($D$99 &lt;&gt; "",$D$99, "")</f>
        <v>203.65899999999999</v>
      </c>
      <c r="K99">
        <f>AVERAGE($H$99,$H$100)</f>
        <v>10319.781000000001</v>
      </c>
      <c r="L99">
        <f>AVERAGE($I$99,$I$100)</f>
        <v>4934.9480000000003</v>
      </c>
      <c r="M99">
        <f>AVERAGE($J$99,$J$100)</f>
        <v>203.65949999999998</v>
      </c>
      <c r="N99"/>
      <c r="O99" s="56">
        <f>$O$97+($N$98)</f>
        <v>122.46768801652901</v>
      </c>
      <c r="P99"/>
      <c r="Q99"/>
      <c r="R99"/>
      <c r="S99"/>
      <c r="T99"/>
      <c r="U99"/>
      <c r="V99" s="156"/>
      <c r="W99" t="s">
        <v>129</v>
      </c>
      <c r="X99">
        <v>6</v>
      </c>
      <c r="Y99" s="147">
        <f>$O$205</f>
        <v>146.42968801652904</v>
      </c>
      <c r="Z99" s="202">
        <f>$X$23*($X$99/$X$100)+$Z$92</f>
        <v>-1.07142857131188E-4</v>
      </c>
      <c r="AA99" s="147">
        <f>$Y$99-$Z$99</f>
        <v>146.42979515938617</v>
      </c>
      <c r="AB99" s="147">
        <f>$P$206</f>
        <v>21.558538041805811</v>
      </c>
      <c r="AC99" s="124" t="s">
        <v>129</v>
      </c>
      <c r="AD99" s="124">
        <v>6</v>
      </c>
      <c r="AE99" s="147">
        <f>$AA$99</f>
        <v>146.42979515938617</v>
      </c>
      <c r="AF99" s="202">
        <f>$AD$23*($AD$99/$AD$100)+$AF$92</f>
        <v>8.8592089726700698E-3</v>
      </c>
      <c r="AG99" s="147">
        <f>$AE$99-$AF$99</f>
        <v>146.42093595041351</v>
      </c>
      <c r="AH99" s="147">
        <f>$AB$99</f>
        <v>21.558538041805811</v>
      </c>
      <c r="AI99"/>
      <c r="AJ99" t="s">
        <v>135</v>
      </c>
      <c r="AK99" s="147">
        <f>VLOOKUP($AJ$99,$AC$28:$AH$115,5,)</f>
        <v>156.75284194214905</v>
      </c>
      <c r="AL99" s="147">
        <f t="shared" si="1"/>
        <v>23.614221784764034</v>
      </c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 s="67" t="s">
        <v>92</v>
      </c>
      <c r="B100" s="64">
        <f>_xlfn.IFNA(INDEX(Table_INPUT_2D[X],MATCH(Table8[[#This Row],[UID]],Table_INPUT_2D[Unique ID],0)),"")</f>
        <v>10319.781000000001</v>
      </c>
      <c r="C100" s="64">
        <f>_xlfn.IFNA(INDEX(Table_INPUT_2D[Y],MATCH(Table8[[#This Row],[UID]],Table_INPUT_2D[Unique ID],0)),"")</f>
        <v>4934.9480000000003</v>
      </c>
      <c r="D100" s="64">
        <f>_xlfn.IFNA(INDEX(Table_INPUT_2D[Z],MATCH(Table8[[#This Row],[UID]],Table_INPUT_2D[Unique ID],0)),"")</f>
        <v>203.66</v>
      </c>
      <c r="E100" s="65" t="s">
        <v>215</v>
      </c>
      <c r="G100" s="2" t="str">
        <f>IF($A$100 &lt;&gt; "",$A$100, "")</f>
        <v>MR9029</v>
      </c>
      <c r="H100" s="2">
        <f>IF($B$100 &lt;&gt; "",$B$100, "")</f>
        <v>10319.781000000001</v>
      </c>
      <c r="I100" s="2">
        <f>IF($C$100 &lt;&gt; "",$C$100, "")</f>
        <v>4934.9480000000003</v>
      </c>
      <c r="J100" s="2">
        <f>IF($D$100 &lt;&gt; "",$D$100, "")</f>
        <v>203.66</v>
      </c>
      <c r="K100"/>
      <c r="L100"/>
      <c r="M100"/>
      <c r="N100">
        <f>$M$101-$M$99</f>
        <v>0.34050000000002001</v>
      </c>
      <c r="O100" s="56"/>
      <c r="P100">
        <f>SQRT(($K$101-$K$99)^2 +($L$101-$L$99)^2)</f>
        <v>21.074421848533998</v>
      </c>
      <c r="Q100"/>
      <c r="R100"/>
      <c r="S100"/>
      <c r="T100"/>
      <c r="U100"/>
      <c r="V100" s="156"/>
      <c r="W100" t="s">
        <v>130</v>
      </c>
      <c r="X100">
        <v>7</v>
      </c>
      <c r="Y100" s="147">
        <f>$O$207</f>
        <v>147.94968801652905</v>
      </c>
      <c r="Z100" s="202">
        <f>$X$23*($X$100/$X$100)+$Z$92</f>
        <v>-1.0937499998808775E-4</v>
      </c>
      <c r="AA100" s="147">
        <f>$Y$100-$Z$100</f>
        <v>147.94979739152905</v>
      </c>
      <c r="AB100" s="147">
        <f>$P$216</f>
        <v>20.022202307688168</v>
      </c>
      <c r="AC100" s="124" t="s">
        <v>130</v>
      </c>
      <c r="AD100" s="124">
        <v>7</v>
      </c>
      <c r="AE100" s="147">
        <f>$AA$100</f>
        <v>147.94979739152905</v>
      </c>
      <c r="AF100" s="202">
        <f>$AD$23*($AD$100/$AD$100)+$AF$92</f>
        <v>9.043775826267364E-3</v>
      </c>
      <c r="AG100" s="147">
        <f>$AE$100-$AF$100</f>
        <v>147.94075361570279</v>
      </c>
      <c r="AH100" s="147">
        <f>$AB$100</f>
        <v>20.022202307688168</v>
      </c>
      <c r="AI100"/>
      <c r="AJ100" t="s">
        <v>136</v>
      </c>
      <c r="AK100" s="147">
        <f>VLOOKUP($AJ$100,$AC$28:$AH$115,5,)</f>
        <v>158.9671596074383</v>
      </c>
      <c r="AL100" s="147">
        <f t="shared" si="1"/>
        <v>19.217492454793096</v>
      </c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 s="67" t="s">
        <v>93</v>
      </c>
      <c r="B101" s="64">
        <f>_xlfn.IFNA(INDEX(Table_INPUT_2D[X],MATCH(Table8[[#This Row],[UID]],Table_INPUT_2D[Unique ID],0)),"")</f>
        <v>10339.598</v>
      </c>
      <c r="C101" s="64">
        <f>_xlfn.IFNA(INDEX(Table_INPUT_2D[Y],MATCH(Table8[[#This Row],[UID]],Table_INPUT_2D[Unique ID],0)),"")</f>
        <v>4927.777</v>
      </c>
      <c r="D101" s="64">
        <f>_xlfn.IFNA(INDEX(Table_INPUT_2D[Z],MATCH(Table8[[#This Row],[UID]],Table_INPUT_2D[Unique ID],0)),"")</f>
        <v>204</v>
      </c>
      <c r="E101" s="65" t="s">
        <v>216</v>
      </c>
      <c r="G101" s="2" t="str">
        <f>IF($A$101 &lt;&gt; "",$A$101, "")</f>
        <v>MR9030</v>
      </c>
      <c r="H101" s="2">
        <f>IF($B$101 &lt;&gt; "",$B$101, "")</f>
        <v>10339.598</v>
      </c>
      <c r="I101" s="2">
        <f>IF($C$101 &lt;&gt; "",$C$101, "")</f>
        <v>4927.777</v>
      </c>
      <c r="J101" s="2">
        <f>IF($D$101 &lt;&gt; "",$D$101, "")</f>
        <v>204</v>
      </c>
      <c r="K101">
        <f>AVERAGE($H$101,$H$102)</f>
        <v>10339.5975</v>
      </c>
      <c r="L101">
        <f>AVERAGE($I$101,$I$102)</f>
        <v>4927.7759999999998</v>
      </c>
      <c r="M101">
        <f>AVERAGE($J$101,$J$102)</f>
        <v>204</v>
      </c>
      <c r="N101"/>
      <c r="O101" s="56">
        <f>$O$99+($N$100)</f>
        <v>122.80818801652903</v>
      </c>
      <c r="P101"/>
      <c r="Q101"/>
      <c r="R101"/>
      <c r="S101"/>
      <c r="T101"/>
      <c r="U101"/>
      <c r="V101" s="156"/>
      <c r="W101"/>
      <c r="X101"/>
      <c r="Y101" s="147"/>
      <c r="Z101" s="202"/>
      <c r="AA101" s="147"/>
      <c r="AB101" s="147"/>
      <c r="AC101" s="124"/>
      <c r="AD101" s="124"/>
      <c r="AE101" s="147"/>
      <c r="AF101" s="202"/>
      <c r="AG101" s="147"/>
      <c r="AH101" s="147"/>
      <c r="AI101"/>
      <c r="AJ101" t="s">
        <v>137</v>
      </c>
      <c r="AK101" s="147">
        <f>VLOOKUP($AJ$101,$AC$28:$AH$115,5,)</f>
        <v>160.96797727272761</v>
      </c>
      <c r="AL101" s="147">
        <f t="shared" si="1"/>
        <v>20.796219199653461</v>
      </c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 s="67" t="s">
        <v>93</v>
      </c>
      <c r="B102" s="64">
        <f>_xlfn.IFNA(INDEX(Table_INPUT_2D[X],MATCH(Table8[[#This Row],[UID]],Table_INPUT_2D[Unique ID],0)),"")</f>
        <v>10339.597</v>
      </c>
      <c r="C102" s="64">
        <f>_xlfn.IFNA(INDEX(Table_INPUT_2D[Y],MATCH(Table8[[#This Row],[UID]],Table_INPUT_2D[Unique ID],0)),"")</f>
        <v>4927.7749999999996</v>
      </c>
      <c r="D102" s="64">
        <f>_xlfn.IFNA(INDEX(Table_INPUT_2D[Z],MATCH(Table8[[#This Row],[UID]],Table_INPUT_2D[Unique ID],0)),"")</f>
        <v>204</v>
      </c>
      <c r="E102" s="65" t="s">
        <v>217</v>
      </c>
      <c r="G102" s="2" t="str">
        <f>IF($A$102 &lt;&gt; "",$A$102, "")</f>
        <v>MR9030</v>
      </c>
      <c r="H102" s="2">
        <f>IF($B$102 &lt;&gt; "",$B$102, "")</f>
        <v>10339.597</v>
      </c>
      <c r="I102" s="2">
        <f>IF($C$102 &lt;&gt; "",$C$102, "")</f>
        <v>4927.7749999999996</v>
      </c>
      <c r="J102" s="2">
        <f>IF($D$102 &lt;&gt; "",$D$102, "")</f>
        <v>204</v>
      </c>
      <c r="K102"/>
      <c r="L102"/>
      <c r="M102"/>
      <c r="N102">
        <f>$M$103-$M$101</f>
        <v>0.17900000000000205</v>
      </c>
      <c r="O102" s="56"/>
      <c r="P102">
        <f>SQRT(($K$103-$K$101)^2 +($L$103-$L$101)^2)</f>
        <v>17.931944958649193</v>
      </c>
      <c r="Q102"/>
      <c r="R102"/>
      <c r="S102"/>
      <c r="T102"/>
      <c r="U102"/>
      <c r="V102" s="156">
        <v>8</v>
      </c>
      <c r="W102" t="s">
        <v>131</v>
      </c>
      <c r="X102">
        <v>1</v>
      </c>
      <c r="Y102" s="147">
        <f>$O$217</f>
        <v>149.61718801652904</v>
      </c>
      <c r="Z102" s="202">
        <f>$X$23*($X$102/$X$108)+$Z$100</f>
        <v>-1.116071428449875E-4</v>
      </c>
      <c r="AA102" s="147">
        <f>$Y$102-$Z$102</f>
        <v>149.6172996236719</v>
      </c>
      <c r="AB102" s="147">
        <f>$P$218</f>
        <v>19.747360431207085</v>
      </c>
      <c r="AC102" s="124" t="s">
        <v>131</v>
      </c>
      <c r="AD102" s="124">
        <v>1</v>
      </c>
      <c r="AE102" s="147">
        <f>$AA$102</f>
        <v>149.6172996236719</v>
      </c>
      <c r="AF102" s="202">
        <f>$AD$23*($AD$102/$AD$108)+$AF$100</f>
        <v>9.2283426798646564E-3</v>
      </c>
      <c r="AG102" s="147">
        <f>$AE$102-$AF$102</f>
        <v>149.60807128099202</v>
      </c>
      <c r="AH102" s="147">
        <f>$AB$102</f>
        <v>19.747360431207085</v>
      </c>
      <c r="AI102"/>
      <c r="AJ102" t="s">
        <v>138</v>
      </c>
      <c r="AK102" s="147">
        <f>VLOOKUP($AJ$102,$AC$28:$AH$115,5,)</f>
        <v>162.07429493801686</v>
      </c>
      <c r="AL102" s="147">
        <f t="shared" si="1"/>
        <v>18.616022306066196</v>
      </c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 s="67" t="s">
        <v>94</v>
      </c>
      <c r="B103" s="64">
        <f>_xlfn.IFNA(INDEX(Table_INPUT_2D[X],MATCH(Table8[[#This Row],[UID]],Table_INPUT_2D[Unique ID],0)),"")</f>
        <v>10356.43</v>
      </c>
      <c r="C103" s="64">
        <f>_xlfn.IFNA(INDEX(Table_INPUT_2D[Y],MATCH(Table8[[#This Row],[UID]],Table_INPUT_2D[Unique ID],0)),"")</f>
        <v>4921.5940000000001</v>
      </c>
      <c r="D103" s="64">
        <f>_xlfn.IFNA(INDEX(Table_INPUT_2D[Z],MATCH(Table8[[#This Row],[UID]],Table_INPUT_2D[Unique ID],0)),"")</f>
        <v>204.178</v>
      </c>
      <c r="E103" s="65" t="s">
        <v>218</v>
      </c>
      <c r="G103" s="2" t="str">
        <f>IF($A$103 &lt;&gt; "",$A$103, "")</f>
        <v>MR9031</v>
      </c>
      <c r="H103" s="2">
        <f>IF($B$103 &lt;&gt; "",$B$103, "")</f>
        <v>10356.43</v>
      </c>
      <c r="I103" s="2">
        <f>IF($C$103 &lt;&gt; "",$C$103, "")</f>
        <v>4921.5940000000001</v>
      </c>
      <c r="J103" s="2">
        <f>IF($D$103 &lt;&gt; "",$D$103, "")</f>
        <v>204.178</v>
      </c>
      <c r="K103">
        <f>AVERAGE($H$103,$H$104)</f>
        <v>10356.4305</v>
      </c>
      <c r="L103">
        <f>AVERAGE($I$103,$I$104)</f>
        <v>4921.5949999999993</v>
      </c>
      <c r="M103">
        <f>AVERAGE($J$103,$J$104)</f>
        <v>204.179</v>
      </c>
      <c r="N103"/>
      <c r="O103" s="56">
        <f>$O$101+($N$102)</f>
        <v>122.98718801652903</v>
      </c>
      <c r="P103"/>
      <c r="Q103"/>
      <c r="R103"/>
      <c r="S103"/>
      <c r="T103"/>
      <c r="U103"/>
      <c r="V103" s="156"/>
      <c r="W103" t="s">
        <v>132</v>
      </c>
      <c r="X103">
        <v>2</v>
      </c>
      <c r="Y103" s="147">
        <f>$O$219</f>
        <v>151.36118801652904</v>
      </c>
      <c r="Z103" s="202">
        <f>$X$23*($X$103/$X$108)+$Z$100</f>
        <v>-1.1383928570188726E-4</v>
      </c>
      <c r="AA103" s="147">
        <f>$Y$103-$Z$103</f>
        <v>151.36130185581473</v>
      </c>
      <c r="AB103" s="147">
        <f>$P$220</f>
        <v>21.080644184891856</v>
      </c>
      <c r="AC103" s="124" t="s">
        <v>132</v>
      </c>
      <c r="AD103" s="124">
        <v>2</v>
      </c>
      <c r="AE103" s="147">
        <f>$AA$103</f>
        <v>151.36130185581473</v>
      </c>
      <c r="AF103" s="202">
        <f>$AD$23*($AD$103/$AD$108)+$AF$100</f>
        <v>9.4129095334619505E-3</v>
      </c>
      <c r="AG103" s="147">
        <f>$AE$103-$AF$103</f>
        <v>151.35188894628126</v>
      </c>
      <c r="AH103" s="147">
        <f>$AB$103</f>
        <v>21.080644184891856</v>
      </c>
      <c r="AI103"/>
      <c r="AJ103" t="s">
        <v>139</v>
      </c>
      <c r="AK103" s="147">
        <f>VLOOKUP($AJ$103,$AC$28:$AH$115,5,)</f>
        <v>163.42261260330613</v>
      </c>
      <c r="AL103" s="147">
        <f t="shared" si="1"/>
        <v>21.470018007677893</v>
      </c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 s="67" t="s">
        <v>94</v>
      </c>
      <c r="B104" s="64">
        <f>_xlfn.IFNA(INDEX(Table_INPUT_2D[X],MATCH(Table8[[#This Row],[UID]],Table_INPUT_2D[Unique ID],0)),"")</f>
        <v>10356.431</v>
      </c>
      <c r="C104" s="64">
        <f>_xlfn.IFNA(INDEX(Table_INPUT_2D[Y],MATCH(Table8[[#This Row],[UID]],Table_INPUT_2D[Unique ID],0)),"")</f>
        <v>4921.5959999999995</v>
      </c>
      <c r="D104" s="64">
        <f>_xlfn.IFNA(INDEX(Table_INPUT_2D[Z],MATCH(Table8[[#This Row],[UID]],Table_INPUT_2D[Unique ID],0)),"")</f>
        <v>204.18</v>
      </c>
      <c r="E104" s="65" t="s">
        <v>219</v>
      </c>
      <c r="G104" s="2" t="str">
        <f>IF($A$104 &lt;&gt; "",$A$104, "")</f>
        <v>MR9031</v>
      </c>
      <c r="H104" s="2">
        <f>IF($B$104 &lt;&gt; "",$B$104, "")</f>
        <v>10356.431</v>
      </c>
      <c r="I104" s="2">
        <f>IF($C$104 &lt;&gt; "",$C$104, "")</f>
        <v>4921.5959999999995</v>
      </c>
      <c r="J104" s="2">
        <f>IF($D$104 &lt;&gt; "",$D$104, "")</f>
        <v>204.18</v>
      </c>
      <c r="K104"/>
      <c r="L104"/>
      <c r="M104"/>
      <c r="N104">
        <f>$M$105-$M$103</f>
        <v>0.58449999999999136</v>
      </c>
      <c r="O104" s="56"/>
      <c r="P104">
        <f>SQRT(($K$105-$K$103)^2 +($L$105-$L$103)^2)</f>
        <v>21.321615587238082</v>
      </c>
      <c r="Q104"/>
      <c r="R104"/>
      <c r="S104"/>
      <c r="T104"/>
      <c r="U104"/>
      <c r="V104" s="156"/>
      <c r="W104" t="s">
        <v>133</v>
      </c>
      <c r="X104">
        <v>3</v>
      </c>
      <c r="Y104" s="147">
        <f>$O$221</f>
        <v>153.32318801652903</v>
      </c>
      <c r="Z104" s="202">
        <f>$X$23*($X$104/$X$108)+$Z$100</f>
        <v>-1.16071428558787E-4</v>
      </c>
      <c r="AA104" s="147">
        <f>$Y$104-$Z$104</f>
        <v>153.32330408795758</v>
      </c>
      <c r="AB104" s="147">
        <f>$P$222</f>
        <v>19.639269487431655</v>
      </c>
      <c r="AC104" s="124" t="s">
        <v>133</v>
      </c>
      <c r="AD104" s="124">
        <v>3</v>
      </c>
      <c r="AE104" s="147">
        <f>$AA$104</f>
        <v>153.32330408795758</v>
      </c>
      <c r="AF104" s="202">
        <f>$AD$23*($AD$104/$AD$108)+$AF$100</f>
        <v>9.5974763870592429E-3</v>
      </c>
      <c r="AG104" s="147">
        <f>$AE$104-$AF$104</f>
        <v>153.31370661157052</v>
      </c>
      <c r="AH104" s="147">
        <f>$AB$104</f>
        <v>19.639269487431655</v>
      </c>
      <c r="AI104"/>
      <c r="AJ104" t="s">
        <v>140</v>
      </c>
      <c r="AK104" s="147">
        <f>VLOOKUP($AJ$104,$AC$28:$AH$115,5,)</f>
        <v>164.90043026859539</v>
      </c>
      <c r="AL104" s="147">
        <f t="shared" si="1"/>
        <v>18.626659369033458</v>
      </c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 s="67" t="s">
        <v>95</v>
      </c>
      <c r="B105" s="64">
        <f>_xlfn.IFNA(INDEX(Table_INPUT_2D[X],MATCH(Table8[[#This Row],[UID]],Table_INPUT_2D[Unique ID],0)),"")</f>
        <v>10376.462</v>
      </c>
      <c r="C105" s="64">
        <f>_xlfn.IFNA(INDEX(Table_INPUT_2D[Y],MATCH(Table8[[#This Row],[UID]],Table_INPUT_2D[Unique ID],0)),"")</f>
        <v>4914.2910000000002</v>
      </c>
      <c r="D105" s="64">
        <f>_xlfn.IFNA(INDEX(Table_INPUT_2D[Z],MATCH(Table8[[#This Row],[UID]],Table_INPUT_2D[Unique ID],0)),"")</f>
        <v>204.76499999999999</v>
      </c>
      <c r="E105" s="65" t="s">
        <v>220</v>
      </c>
      <c r="G105" s="2" t="str">
        <f>IF($A$105 &lt;&gt; "",$A$105, "")</f>
        <v>MR9032</v>
      </c>
      <c r="H105" s="2">
        <f>IF($B$105 &lt;&gt; "",$B$105, "")</f>
        <v>10376.462</v>
      </c>
      <c r="I105" s="2">
        <f>IF($C$105 &lt;&gt; "",$C$105, "")</f>
        <v>4914.2910000000002</v>
      </c>
      <c r="J105" s="2">
        <f>IF($D$105 &lt;&gt; "",$D$105, "")</f>
        <v>204.76499999999999</v>
      </c>
      <c r="K105">
        <f>AVERAGE($H$105,$H$106)</f>
        <v>10376.461499999999</v>
      </c>
      <c r="L105">
        <f>AVERAGE($I$105,$I$106)</f>
        <v>4914.2894999999999</v>
      </c>
      <c r="M105">
        <f>AVERAGE($J$105,$J$106)</f>
        <v>204.76349999999999</v>
      </c>
      <c r="N105"/>
      <c r="O105" s="56">
        <f>$O$103+($N$104)</f>
        <v>123.57168801652902</v>
      </c>
      <c r="P105"/>
      <c r="Q105"/>
      <c r="R105"/>
      <c r="S105"/>
      <c r="T105"/>
      <c r="U105"/>
      <c r="V105" s="156"/>
      <c r="W105" t="s">
        <v>134</v>
      </c>
      <c r="X105">
        <v>4</v>
      </c>
      <c r="Y105" s="147">
        <f>$O$223</f>
        <v>154.92418801652903</v>
      </c>
      <c r="Z105" s="202">
        <f>$X$23*($X$105/$X$108)+$Z$100</f>
        <v>-1.1830357141568675E-4</v>
      </c>
      <c r="AA105" s="147">
        <f>$Y$105-$Z$105</f>
        <v>154.92430632010044</v>
      </c>
      <c r="AB105" s="147">
        <f>$P$224</f>
        <v>19.626680749683178</v>
      </c>
      <c r="AC105" s="124" t="s">
        <v>134</v>
      </c>
      <c r="AD105" s="124">
        <v>4</v>
      </c>
      <c r="AE105" s="147">
        <f>$AA$105</f>
        <v>154.92430632010044</v>
      </c>
      <c r="AF105" s="202">
        <f>$AD$23*($AD$105/$AD$108)+$AF$100</f>
        <v>9.782043240656537E-3</v>
      </c>
      <c r="AG105" s="147">
        <f>$AE$105-$AF$105</f>
        <v>154.91452427685979</v>
      </c>
      <c r="AH105" s="147">
        <f>$AB$105</f>
        <v>19.626680749683178</v>
      </c>
      <c r="AI105"/>
      <c r="AJ105" t="s">
        <v>141</v>
      </c>
      <c r="AK105" s="147">
        <f>VLOOKUP($AJ$105,$AC$28:$AH$115,5,)</f>
        <v>166.56874793388465</v>
      </c>
      <c r="AL105" s="147">
        <f t="shared" si="1"/>
        <v>21.000380341794195</v>
      </c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 s="67" t="s">
        <v>95</v>
      </c>
      <c r="B106" s="64">
        <f>_xlfn.IFNA(INDEX(Table_INPUT_2D[X],MATCH(Table8[[#This Row],[UID]],Table_INPUT_2D[Unique ID],0)),"")</f>
        <v>10376.460999999999</v>
      </c>
      <c r="C106" s="64">
        <f>_xlfn.IFNA(INDEX(Table_INPUT_2D[Y],MATCH(Table8[[#This Row],[UID]],Table_INPUT_2D[Unique ID],0)),"")</f>
        <v>4914.2879999999996</v>
      </c>
      <c r="D106" s="64">
        <f>_xlfn.IFNA(INDEX(Table_INPUT_2D[Z],MATCH(Table8[[#This Row],[UID]],Table_INPUT_2D[Unique ID],0)),"")</f>
        <v>204.762</v>
      </c>
      <c r="E106" s="65" t="s">
        <v>221</v>
      </c>
      <c r="G106" s="2" t="str">
        <f>IF($A$106 &lt;&gt; "",$A$106, "")</f>
        <v>MR9032</v>
      </c>
      <c r="H106" s="2">
        <f>IF($B$106 &lt;&gt; "",$B$106, "")</f>
        <v>10376.460999999999</v>
      </c>
      <c r="I106" s="2">
        <f>IF($C$106 &lt;&gt; "",$C$106, "")</f>
        <v>4914.2879999999996</v>
      </c>
      <c r="J106" s="2">
        <f>IF($D$106 &lt;&gt; "",$D$106, "")</f>
        <v>204.762</v>
      </c>
      <c r="K106"/>
      <c r="L106"/>
      <c r="M106"/>
      <c r="N106"/>
      <c r="O106" s="56"/>
      <c r="P106"/>
      <c r="Q106"/>
      <c r="R106"/>
      <c r="S106"/>
      <c r="T106"/>
      <c r="U106"/>
      <c r="V106" s="156"/>
      <c r="W106" t="s">
        <v>135</v>
      </c>
      <c r="X106">
        <v>5</v>
      </c>
      <c r="Y106" s="147">
        <f>$O$225</f>
        <v>156.76268801652904</v>
      </c>
      <c r="Z106" s="202">
        <f>$X$23*($X$106/$X$108)+$Z$100</f>
        <v>-1.2053571427258651E-4</v>
      </c>
      <c r="AA106" s="147">
        <f>$Y$106-$Z$106</f>
        <v>156.76280855224331</v>
      </c>
      <c r="AB106" s="147">
        <f>$P$226</f>
        <v>23.614221784764034</v>
      </c>
      <c r="AC106" s="124" t="s">
        <v>135</v>
      </c>
      <c r="AD106" s="124">
        <v>5</v>
      </c>
      <c r="AE106" s="147">
        <f>$AA$106</f>
        <v>156.76280855224331</v>
      </c>
      <c r="AF106" s="202">
        <f>$AD$23*($AD$106/$AD$108)+$AF$100</f>
        <v>9.9666100942538294E-3</v>
      </c>
      <c r="AG106" s="147">
        <f>$AE$106-$AF$106</f>
        <v>156.75284194214905</v>
      </c>
      <c r="AH106" s="147">
        <f>$AB$106</f>
        <v>23.614221784764034</v>
      </c>
      <c r="AI106"/>
      <c r="AJ106" t="s">
        <v>142</v>
      </c>
      <c r="AK106" s="147">
        <f>VLOOKUP($AJ$106,$AC$28:$AH$115,5,)</f>
        <v>168.7665655991739</v>
      </c>
      <c r="AL106" s="147">
        <f t="shared" si="1"/>
        <v>18.628595330834905</v>
      </c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 s="63" t="s">
        <v>21</v>
      </c>
      <c r="B107" s="64" t="str">
        <f>_xlfn.IFNA(INDEX(Table_INPUT_2D[X],MATCH(Table8[[#This Row],[UID]],Table_INPUT_2D[Unique ID],0)),"")</f>
        <v/>
      </c>
      <c r="C107" s="64" t="str">
        <f>_xlfn.IFNA(INDEX(Table_INPUT_2D[Y],MATCH(Table8[[#This Row],[UID]],Table_INPUT_2D[Unique ID],0)),"")</f>
        <v/>
      </c>
      <c r="D107" s="64" t="str">
        <f>_xlfn.IFNA(INDEX(Table_INPUT_2D[Z],MATCH(Table8[[#This Row],[UID]],Table_INPUT_2D[Unique ID],0)),"")</f>
        <v/>
      </c>
      <c r="E107" s="65"/>
      <c r="G107" s="2" t="str">
        <f>IF($A$107 &lt;&gt; "",$A$107, "")</f>
        <v>CLOSE</v>
      </c>
      <c r="H107" s="2" t="str">
        <f>IF($B$107 &lt;&gt; "",$B$107, "")</f>
        <v/>
      </c>
      <c r="I107" s="2" t="str">
        <f>IF($C$107 &lt;&gt; "",$C$107, "")</f>
        <v/>
      </c>
      <c r="J107" s="2" t="str">
        <f>IF($D$107 &lt;&gt; "",$D$107, "")</f>
        <v/>
      </c>
      <c r="K107"/>
      <c r="L107"/>
      <c r="M107"/>
      <c r="N107"/>
      <c r="O107" s="56"/>
      <c r="P107"/>
      <c r="Q107"/>
      <c r="R107"/>
      <c r="S107"/>
      <c r="T107"/>
      <c r="U107"/>
      <c r="V107" s="156"/>
      <c r="W107" t="s">
        <v>136</v>
      </c>
      <c r="X107">
        <v>6</v>
      </c>
      <c r="Y107" s="147">
        <f>$O$227</f>
        <v>158.97718801652903</v>
      </c>
      <c r="Z107" s="202">
        <f>$X$23*($X$107/$X$108)+$Z$100</f>
        <v>-1.2276785712948626E-4</v>
      </c>
      <c r="AA107" s="147">
        <f>$Y$107-$Z$107</f>
        <v>158.97731078438616</v>
      </c>
      <c r="AB107" s="147">
        <f>$P$228</f>
        <v>19.217492454793096</v>
      </c>
      <c r="AC107" s="124" t="s">
        <v>136</v>
      </c>
      <c r="AD107" s="124">
        <v>6</v>
      </c>
      <c r="AE107" s="147">
        <f>$AA$107</f>
        <v>158.97731078438616</v>
      </c>
      <c r="AF107" s="202">
        <f>$AD$23*($AD$107/$AD$108)+$AF$100</f>
        <v>1.0151176947851122E-2</v>
      </c>
      <c r="AG107" s="147">
        <f>$AE$107-$AF$107</f>
        <v>158.9671596074383</v>
      </c>
      <c r="AH107" s="147">
        <f>$AB$107</f>
        <v>19.217492454793096</v>
      </c>
      <c r="AI107"/>
      <c r="AJ107" t="s">
        <v>143</v>
      </c>
      <c r="AK107" s="147">
        <f>VLOOKUP($AJ107,$AC$28:$AH$179,5,)</f>
        <v>170.65688810077268</v>
      </c>
      <c r="AL107" s="147">
        <f t="shared" si="1"/>
        <v>64.587477056314739</v>
      </c>
      <c r="AM107"/>
      <c r="AN107" s="57">
        <v>170.65299999999999</v>
      </c>
      <c r="AO107" s="57" t="s">
        <v>764</v>
      </c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 s="67" t="s">
        <v>85</v>
      </c>
      <c r="B108" s="64">
        <f>_xlfn.IFNA(INDEX(Table_INPUT_2D[X],MATCH(Table8[[#This Row],[UID]],Table_INPUT_2D[Unique ID],0)),"")</f>
        <v>10187.255999999999</v>
      </c>
      <c r="C108" s="64">
        <f>_xlfn.IFNA(INDEX(Table_INPUT_2D[Y],MATCH(Table8[[#This Row],[UID]],Table_INPUT_2D[Unique ID],0)),"")</f>
        <v>4981.2910000000002</v>
      </c>
      <c r="D108" s="64">
        <f>_xlfn.IFNA(INDEX(Table_INPUT_2D[Z],MATCH(Table8[[#This Row],[UID]],Table_INPUT_2D[Unique ID],0)),"")</f>
        <v>201.02699999999999</v>
      </c>
      <c r="E108" s="65" t="s">
        <v>200</v>
      </c>
      <c r="G108" s="2" t="str">
        <f>IF($A$108 &lt;&gt; "",$A$108, "")</f>
        <v>MR9022</v>
      </c>
      <c r="H108" s="2">
        <f>IF($B$108 &lt;&gt; "",$B$108, "")</f>
        <v>10187.255999999999</v>
      </c>
      <c r="I108" s="2">
        <f>IF($C$108 &lt;&gt; "",$C$108, "")</f>
        <v>4981.2910000000002</v>
      </c>
      <c r="J108" s="2">
        <f>IF($D$108 &lt;&gt; "",$D$108, "")</f>
        <v>201.02699999999999</v>
      </c>
      <c r="K108">
        <f>AVERAGE($H$108,$H$109)</f>
        <v>10187.2565</v>
      </c>
      <c r="L108">
        <f>AVERAGE($I$108,$I$109)</f>
        <v>4981.2919999999995</v>
      </c>
      <c r="M108">
        <f>AVERAGE($J$108,$J$109)</f>
        <v>201.02600000000001</v>
      </c>
      <c r="N108"/>
      <c r="O108" s="56">
        <f>$O$110+(-$N$109)</f>
        <v>119.83668801652905</v>
      </c>
      <c r="P108"/>
      <c r="Q108"/>
      <c r="R108"/>
      <c r="S108"/>
      <c r="T108"/>
      <c r="U108"/>
      <c r="V108" s="156"/>
      <c r="W108" t="s">
        <v>137</v>
      </c>
      <c r="X108">
        <v>7</v>
      </c>
      <c r="Y108" s="147">
        <f>$O$229</f>
        <v>160.97818801652906</v>
      </c>
      <c r="Z108" s="202">
        <f>$X$23*($X$108/$X$108)+$Z$100</f>
        <v>-1.24999999986386E-4</v>
      </c>
      <c r="AA108" s="147">
        <f>$Y$108-$Z$108</f>
        <v>160.97831301652906</v>
      </c>
      <c r="AB108" s="147">
        <f>$P$238</f>
        <v>20.796219199653461</v>
      </c>
      <c r="AC108" s="124" t="s">
        <v>137</v>
      </c>
      <c r="AD108" s="124">
        <v>7</v>
      </c>
      <c r="AE108" s="147">
        <f>$AA$108</f>
        <v>160.97831301652906</v>
      </c>
      <c r="AF108" s="202">
        <f>$AD$23*($AD$108/$AD$108)+$AF$100</f>
        <v>1.0335743801448416E-2</v>
      </c>
      <c r="AG108" s="147">
        <f>$AE$108-$AF$108</f>
        <v>160.96797727272761</v>
      </c>
      <c r="AH108" s="147">
        <f>$AB$108</f>
        <v>20.796219199653461</v>
      </c>
      <c r="AI108"/>
      <c r="AJ108" s="57" t="s">
        <v>471</v>
      </c>
      <c r="AK108" s="147">
        <f t="shared" ref="AK108:AK160" si="2">VLOOKUP($AJ108,$AC$28:$AH$179,5,)</f>
        <v>188.44577548209401</v>
      </c>
      <c r="AL108" s="147">
        <f t="shared" si="1"/>
        <v>21.690745889665184</v>
      </c>
      <c r="AM108"/>
      <c r="AN108" s="57"/>
      <c r="AO108" s="57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 s="67" t="s">
        <v>85</v>
      </c>
      <c r="B109" s="64">
        <f>_xlfn.IFNA(INDEX(Table_INPUT_2D[X],MATCH(Table8[[#This Row],[UID]],Table_INPUT_2D[Unique ID],0)),"")</f>
        <v>10187.257</v>
      </c>
      <c r="C109" s="64">
        <f>_xlfn.IFNA(INDEX(Table_INPUT_2D[Y],MATCH(Table8[[#This Row],[UID]],Table_INPUT_2D[Unique ID],0)),"")</f>
        <v>4981.2929999999997</v>
      </c>
      <c r="D109" s="64">
        <f>_xlfn.IFNA(INDEX(Table_INPUT_2D[Z],MATCH(Table8[[#This Row],[UID]],Table_INPUT_2D[Unique ID],0)),"")</f>
        <v>201.02500000000001</v>
      </c>
      <c r="E109" s="65" t="s">
        <v>201</v>
      </c>
      <c r="G109" s="2" t="str">
        <f>IF($A$109 &lt;&gt; "",$A$109, "")</f>
        <v>MR9022</v>
      </c>
      <c r="H109" s="2">
        <f>IF($B$109 &lt;&gt; "",$B$109, "")</f>
        <v>10187.257</v>
      </c>
      <c r="I109" s="2">
        <f>IF($C$109 &lt;&gt; "",$C$109, "")</f>
        <v>4981.2929999999997</v>
      </c>
      <c r="J109" s="2">
        <f>IF($D$109 &lt;&gt; "",$D$109, "")</f>
        <v>201.02500000000001</v>
      </c>
      <c r="K109"/>
      <c r="L109"/>
      <c r="M109"/>
      <c r="N109">
        <f>$M$110-$M$108</f>
        <v>3.7379999999999995</v>
      </c>
      <c r="O109" s="56"/>
      <c r="P109">
        <f>SQRT(($K$110-$K$108)^2 +($L$110-$L$108)^2)</f>
        <v>200.71807300103768</v>
      </c>
      <c r="Q109"/>
      <c r="R109"/>
      <c r="S109"/>
      <c r="T109"/>
      <c r="U109"/>
      <c r="V109" s="156"/>
      <c r="W109"/>
      <c r="X109"/>
      <c r="Y109" s="147"/>
      <c r="Z109" s="202"/>
      <c r="AA109" s="147"/>
      <c r="AB109" s="147"/>
      <c r="AC109" s="124"/>
      <c r="AD109" s="124"/>
      <c r="AE109" s="147"/>
      <c r="AF109" s="202"/>
      <c r="AG109" s="147"/>
      <c r="AH109" s="147"/>
      <c r="AI109"/>
      <c r="AJ109" s="57" t="s">
        <v>474</v>
      </c>
      <c r="AK109" s="147">
        <f t="shared" si="2"/>
        <v>189.55585003443557</v>
      </c>
      <c r="AL109" s="147">
        <f t="shared" si="1"/>
        <v>17.988383612764689</v>
      </c>
      <c r="AM109"/>
      <c r="AN109" s="155">
        <f>AN107-AK107</f>
        <v>-3.8881007726843109E-3</v>
      </c>
      <c r="AO109" s="57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 s="67" t="s">
        <v>95</v>
      </c>
      <c r="B110" s="64">
        <f>_xlfn.IFNA(INDEX(Table_INPUT_2D[X],MATCH(Table8[[#This Row],[UID]],Table_INPUT_2D[Unique ID],0)),"")</f>
        <v>10376.460999999999</v>
      </c>
      <c r="C110" s="64">
        <f>_xlfn.IFNA(INDEX(Table_INPUT_2D[Y],MATCH(Table8[[#This Row],[UID]],Table_INPUT_2D[Unique ID],0)),"")</f>
        <v>4914.2879999999996</v>
      </c>
      <c r="D110" s="64">
        <f>_xlfn.IFNA(INDEX(Table_INPUT_2D[Z],MATCH(Table8[[#This Row],[UID]],Table_INPUT_2D[Unique ID],0)),"")</f>
        <v>204.76300000000001</v>
      </c>
      <c r="E110" s="65" t="s">
        <v>222</v>
      </c>
      <c r="G110" s="2" t="str">
        <f>IF($A$110 &lt;&gt; "",$A$110, "")</f>
        <v>MR9032</v>
      </c>
      <c r="H110" s="2">
        <f>IF($B$110 &lt;&gt; "",$B$110, "")</f>
        <v>10376.460999999999</v>
      </c>
      <c r="I110" s="2">
        <f>IF($C$110 &lt;&gt; "",$C$110, "")</f>
        <v>4914.2879999999996</v>
      </c>
      <c r="J110" s="2">
        <f>IF($D$110 &lt;&gt; "",$D$110, "")</f>
        <v>204.76300000000001</v>
      </c>
      <c r="K110">
        <f>AVERAGE($H$110,$H$111)</f>
        <v>10376.460999999999</v>
      </c>
      <c r="L110">
        <f>AVERAGE($I$110,$I$111)</f>
        <v>4914.2889999999998</v>
      </c>
      <c r="M110">
        <f>AVERAGE($J$110,$J$111)</f>
        <v>204.76400000000001</v>
      </c>
      <c r="N110"/>
      <c r="O110" s="56">
        <f>$O$136</f>
        <v>123.57468801652905</v>
      </c>
      <c r="P110"/>
      <c r="Q110"/>
      <c r="R110"/>
      <c r="S110"/>
      <c r="T110"/>
      <c r="U110"/>
      <c r="V110" s="156">
        <v>9</v>
      </c>
      <c r="W110" t="s">
        <v>138</v>
      </c>
      <c r="X110">
        <v>1</v>
      </c>
      <c r="Y110" s="147">
        <f>$O$239</f>
        <v>162.08468801652907</v>
      </c>
      <c r="Z110" s="202">
        <f>$X$23*($X$110/$X$116)+$Z$108</f>
        <v>-1.2723214284328575E-4</v>
      </c>
      <c r="AA110" s="147">
        <f>$Y$110-$Z$110</f>
        <v>162.0848152486719</v>
      </c>
      <c r="AB110" s="147">
        <f>$P$240</f>
        <v>18.616022306066196</v>
      </c>
      <c r="AC110" s="124" t="s">
        <v>138</v>
      </c>
      <c r="AD110" s="124">
        <v>1</v>
      </c>
      <c r="AE110" s="147">
        <f>$AA$110</f>
        <v>162.0848152486719</v>
      </c>
      <c r="AF110" s="202">
        <f>$AD$23*($AD$110/$AD$116)+$AF$108</f>
        <v>1.0520310655045708E-2</v>
      </c>
      <c r="AG110" s="147">
        <f>$AE$110-$AF$110</f>
        <v>162.07429493801686</v>
      </c>
      <c r="AH110" s="147">
        <f>$AB$110</f>
        <v>18.616022306066196</v>
      </c>
      <c r="AI110"/>
      <c r="AJ110" s="57" t="s">
        <v>477</v>
      </c>
      <c r="AK110" s="147">
        <f t="shared" si="2"/>
        <v>189.3454245867772</v>
      </c>
      <c r="AL110" s="147">
        <f t="shared" si="1"/>
        <v>22.303857827738717</v>
      </c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 s="67" t="s">
        <v>95</v>
      </c>
      <c r="B111" s="64">
        <f>_xlfn.IFNA(INDEX(Table_INPUT_2D[X],MATCH(Table8[[#This Row],[UID]],Table_INPUT_2D[Unique ID],0)),"")</f>
        <v>10376.460999999999</v>
      </c>
      <c r="C111" s="64">
        <f>_xlfn.IFNA(INDEX(Table_INPUT_2D[Y],MATCH(Table8[[#This Row],[UID]],Table_INPUT_2D[Unique ID],0)),"")</f>
        <v>4914.29</v>
      </c>
      <c r="D111" s="64">
        <f>_xlfn.IFNA(INDEX(Table_INPUT_2D[Z],MATCH(Table8[[#This Row],[UID]],Table_INPUT_2D[Unique ID],0)),"")</f>
        <v>204.76499999999999</v>
      </c>
      <c r="E111" s="65" t="s">
        <v>223</v>
      </c>
      <c r="G111" s="2" t="str">
        <f>IF($A$111 &lt;&gt; "",$A$111, "")</f>
        <v>MR9032</v>
      </c>
      <c r="H111" s="2">
        <f>IF($B$111 &lt;&gt; "",$B$111, "")</f>
        <v>10376.460999999999</v>
      </c>
      <c r="I111" s="2">
        <f>IF($C$111 &lt;&gt; "",$C$111, "")</f>
        <v>4914.29</v>
      </c>
      <c r="J111" s="2">
        <f>IF($D$111 &lt;&gt; "",$D$111, "")</f>
        <v>204.76499999999999</v>
      </c>
      <c r="K111"/>
      <c r="L111"/>
      <c r="M111"/>
      <c r="N111"/>
      <c r="O111" s="56"/>
      <c r="P111"/>
      <c r="Q111"/>
      <c r="R111"/>
      <c r="S111"/>
      <c r="T111"/>
      <c r="U111"/>
      <c r="V111" s="156"/>
      <c r="W111" t="s">
        <v>139</v>
      </c>
      <c r="X111">
        <v>2</v>
      </c>
      <c r="Y111" s="147">
        <f>$O$241</f>
        <v>163.43318801652907</v>
      </c>
      <c r="Z111" s="202">
        <f>$X$23*($X$111/$X$116)+$Z$108</f>
        <v>-1.2946428570018549E-4</v>
      </c>
      <c r="AA111" s="147">
        <f>$Y$111-$Z$111</f>
        <v>163.43331748081476</v>
      </c>
      <c r="AB111" s="147">
        <f>$P$242</f>
        <v>21.470018007677893</v>
      </c>
      <c r="AC111" s="124" t="s">
        <v>139</v>
      </c>
      <c r="AD111" s="124">
        <v>2</v>
      </c>
      <c r="AE111" s="147">
        <f>$AA$111</f>
        <v>163.43331748081476</v>
      </c>
      <c r="AF111" s="202">
        <f>$AD$23*($AD$111/$AD$116)+$AF$108</f>
        <v>1.0704877508643003E-2</v>
      </c>
      <c r="AG111" s="147">
        <f>$AE$111-$AF$111</f>
        <v>163.42261260330613</v>
      </c>
      <c r="AH111" s="147">
        <f>$AB$111</f>
        <v>21.470018007677893</v>
      </c>
      <c r="AI111"/>
      <c r="AJ111" s="57" t="s">
        <v>494</v>
      </c>
      <c r="AK111" s="147">
        <f t="shared" si="2"/>
        <v>186.46491404958715</v>
      </c>
      <c r="AL111" s="147">
        <f t="shared" si="1"/>
        <v>24.635425326143146</v>
      </c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 s="63" t="s">
        <v>22</v>
      </c>
      <c r="B112" s="66" t="str">
        <f>_xlfn.IFNA(INDEX(Table_INPUT_2D[X],MATCH(Table8[[#This Row],[UID]],Table_INPUT_2D[Unique ID],0)),"")</f>
        <v/>
      </c>
      <c r="C112" s="66" t="str">
        <f>_xlfn.IFNA(INDEX(Table_INPUT_2D[Y],MATCH(Table8[[#This Row],[UID]],Table_INPUT_2D[Unique ID],0)),"")</f>
        <v/>
      </c>
      <c r="D112" s="66" t="str">
        <f>_xlfn.IFNA(INDEX(Table_INPUT_2D[Z],MATCH(Table8[[#This Row],[UID]],Table_INPUT_2D[Unique ID],0)),"")</f>
        <v/>
      </c>
      <c r="E112" s="65"/>
      <c r="G112" s="2" t="str">
        <f>IF($A$112 &lt;&gt; "",$A$112, "")</f>
        <v>STATION</v>
      </c>
      <c r="H112" s="2" t="str">
        <f>IF($B$112 &lt;&gt; "",$B$112, "")</f>
        <v/>
      </c>
      <c r="I112" s="2" t="str">
        <f>IF($C$112 &lt;&gt; "",$C$112, "")</f>
        <v/>
      </c>
      <c r="J112" s="2" t="str">
        <f>IF($D$112 &lt;&gt; "",$D$112, "")</f>
        <v/>
      </c>
      <c r="K112"/>
      <c r="L112"/>
      <c r="M112"/>
      <c r="N112"/>
      <c r="O112" s="56"/>
      <c r="P112"/>
      <c r="Q112"/>
      <c r="R112"/>
      <c r="S112"/>
      <c r="T112"/>
      <c r="U112"/>
      <c r="V112" s="156"/>
      <c r="W112" t="s">
        <v>140</v>
      </c>
      <c r="X112">
        <v>3</v>
      </c>
      <c r="Y112" s="147">
        <f>$O$243</f>
        <v>164.91118801652908</v>
      </c>
      <c r="Z112" s="202">
        <f>$X$23*($X$112/$X$116)+$Z$108</f>
        <v>-1.3169642855708524E-4</v>
      </c>
      <c r="AA112" s="147">
        <f>$Y$112-$Z$112</f>
        <v>164.91131971295763</v>
      </c>
      <c r="AB112" s="147">
        <f>$P$244</f>
        <v>18.626659369033458</v>
      </c>
      <c r="AC112" s="124" t="s">
        <v>140</v>
      </c>
      <c r="AD112" s="124">
        <v>3</v>
      </c>
      <c r="AE112" s="147">
        <f>$AA$112</f>
        <v>164.91131971295763</v>
      </c>
      <c r="AF112" s="202">
        <f>$AD$23*($AD$112/$AD$116)+$AF$108</f>
        <v>1.0889444362240295E-2</v>
      </c>
      <c r="AG112" s="147">
        <f>$AE$112-$AF$112</f>
        <v>164.90043026859539</v>
      </c>
      <c r="AH112" s="147">
        <f>$AB$112</f>
        <v>18.626659369033458</v>
      </c>
      <c r="AI112"/>
      <c r="AJ112" s="57" t="s">
        <v>500</v>
      </c>
      <c r="AK112" s="147">
        <f t="shared" si="2"/>
        <v>181.39464824380195</v>
      </c>
      <c r="AL112" s="147">
        <f t="shared" si="1"/>
        <v>20.148090635341855</v>
      </c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 s="67" t="s">
        <v>95</v>
      </c>
      <c r="B113" s="66">
        <f>_xlfn.IFNA(INDEX(Table_INPUT_2D[X],MATCH(Table8[[#This Row],[UID]],Table_INPUT_2D[Unique ID],0)),"")</f>
        <v>10376.462</v>
      </c>
      <c r="C113" s="66">
        <f>_xlfn.IFNA(INDEX(Table_INPUT_2D[Y],MATCH(Table8[[#This Row],[UID]],Table_INPUT_2D[Unique ID],0)),"")</f>
        <v>4914.2920000000004</v>
      </c>
      <c r="D113" s="66">
        <f>_xlfn.IFNA(INDEX(Table_INPUT_2D[Z],MATCH(Table8[[#This Row],[UID]],Table_INPUT_2D[Unique ID],0)),"")</f>
        <v>204.76</v>
      </c>
      <c r="E113" s="65" t="s">
        <v>224</v>
      </c>
      <c r="G113" s="2" t="str">
        <f>IF($A$113 &lt;&gt; "",$A$113, "")</f>
        <v>MR9032</v>
      </c>
      <c r="H113" s="2">
        <f>IF($B$113 &lt;&gt; "",$B$113, "")</f>
        <v>10376.462</v>
      </c>
      <c r="I113" s="2">
        <f>IF($C$113 &lt;&gt; "",$C$113, "")</f>
        <v>4914.2920000000004</v>
      </c>
      <c r="J113" s="2">
        <f>IF($D$113 &lt;&gt; "",$D$113, "")</f>
        <v>204.76</v>
      </c>
      <c r="K113">
        <f>AVERAGE($H$113,$H$114)</f>
        <v>10376.461499999999</v>
      </c>
      <c r="L113">
        <f>AVERAGE($I$113,$I$114)</f>
        <v>4914.2915000000003</v>
      </c>
      <c r="M113">
        <f>AVERAGE($J$113,$J$114)</f>
        <v>204.76150000000001</v>
      </c>
      <c r="N113"/>
      <c r="O113" s="56">
        <f>$O$105</f>
        <v>123.57168801652902</v>
      </c>
      <c r="P113"/>
      <c r="Q113"/>
      <c r="R113"/>
      <c r="S113"/>
      <c r="T113"/>
      <c r="U113"/>
      <c r="V113" s="156"/>
      <c r="W113" t="s">
        <v>141</v>
      </c>
      <c r="X113">
        <v>4</v>
      </c>
      <c r="Y113" s="147">
        <f>$O$245</f>
        <v>166.57968801652908</v>
      </c>
      <c r="Z113" s="202">
        <f>$X$23*($X$113/$X$116)+$Z$108</f>
        <v>-1.3392857141398501E-4</v>
      </c>
      <c r="AA113" s="147">
        <f>$Y$113-$Z$113</f>
        <v>166.57982194510049</v>
      </c>
      <c r="AB113" s="147">
        <f>$P$246</f>
        <v>21.000380341794195</v>
      </c>
      <c r="AC113" s="124" t="s">
        <v>141</v>
      </c>
      <c r="AD113" s="124">
        <v>4</v>
      </c>
      <c r="AE113" s="147">
        <f>$AA$113</f>
        <v>166.57982194510049</v>
      </c>
      <c r="AF113" s="202">
        <f>$AD$23*($AD$113/$AD$116)+$AF$108</f>
        <v>1.1074011215837589E-2</v>
      </c>
      <c r="AG113" s="147">
        <f>$AE$113-$AF$113</f>
        <v>166.56874793388465</v>
      </c>
      <c r="AH113" s="147">
        <f>$AB$113</f>
        <v>21.000380341794195</v>
      </c>
      <c r="AI113"/>
      <c r="AJ113" s="57" t="s">
        <v>508</v>
      </c>
      <c r="AK113" s="147">
        <f t="shared" si="2"/>
        <v>176.66948870093003</v>
      </c>
      <c r="AL113" s="147">
        <f t="shared" si="1"/>
        <v>18.703263438501864</v>
      </c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 s="67" t="s">
        <v>95</v>
      </c>
      <c r="B114" s="66">
        <f>_xlfn.IFNA(INDEX(Table_INPUT_2D[X],MATCH(Table8[[#This Row],[UID]],Table_INPUT_2D[Unique ID],0)),"")</f>
        <v>10376.460999999999</v>
      </c>
      <c r="C114" s="66">
        <f>_xlfn.IFNA(INDEX(Table_INPUT_2D[Y],MATCH(Table8[[#This Row],[UID]],Table_INPUT_2D[Unique ID],0)),"")</f>
        <v>4914.2910000000002</v>
      </c>
      <c r="D114" s="66">
        <f>_xlfn.IFNA(INDEX(Table_INPUT_2D[Z],MATCH(Table8[[#This Row],[UID]],Table_INPUT_2D[Unique ID],0)),"")</f>
        <v>204.76300000000001</v>
      </c>
      <c r="E114" s="65" t="s">
        <v>225</v>
      </c>
      <c r="G114" s="2" t="str">
        <f>IF($A$114 &lt;&gt; "",$A$114, "")</f>
        <v>MR9032</v>
      </c>
      <c r="H114" s="2">
        <f>IF($B$114 &lt;&gt; "",$B$114, "")</f>
        <v>10376.460999999999</v>
      </c>
      <c r="I114" s="2">
        <f>IF($C$114 &lt;&gt; "",$C$114, "")</f>
        <v>4914.2910000000002</v>
      </c>
      <c r="J114" s="2">
        <f>IF($D$114 &lt;&gt; "",$D$114, "")</f>
        <v>204.76300000000001</v>
      </c>
      <c r="K114"/>
      <c r="L114"/>
      <c r="M114"/>
      <c r="N114">
        <f>$M$115-$M$113</f>
        <v>0.50049999999998818</v>
      </c>
      <c r="O114" s="56"/>
      <c r="P114">
        <f>SQRT(($K$115-$K$113)^2 +($L$115-$L$113)^2)</f>
        <v>20.743078809570417</v>
      </c>
      <c r="Q114"/>
      <c r="R114"/>
      <c r="S114"/>
      <c r="T114"/>
      <c r="U114"/>
      <c r="V114" s="156"/>
      <c r="W114" t="s">
        <v>142</v>
      </c>
      <c r="X114">
        <v>5</v>
      </c>
      <c r="Y114" s="147">
        <f>$O$247</f>
        <v>168.77768801652905</v>
      </c>
      <c r="Z114" s="202">
        <f>$X$23*($X$114/$X$116)+$Z$108</f>
        <v>-1.3616071427088476E-4</v>
      </c>
      <c r="AA114" s="147">
        <f>$Y$114-$Z$114</f>
        <v>168.77782417724333</v>
      </c>
      <c r="AB114" s="147">
        <f>$P$248</f>
        <v>18.628595330834905</v>
      </c>
      <c r="AC114" s="124" t="s">
        <v>142</v>
      </c>
      <c r="AD114" s="124">
        <v>5</v>
      </c>
      <c r="AE114" s="147">
        <f>$AA$114</f>
        <v>168.77782417724333</v>
      </c>
      <c r="AF114" s="202">
        <f>$AD$23*($AD$114/$AD$116)+$AF$108</f>
        <v>1.1258578069434881E-2</v>
      </c>
      <c r="AG114" s="147">
        <f>$AE$114-$AF$114</f>
        <v>168.7665655991739</v>
      </c>
      <c r="AH114" s="147">
        <f>$AB$114</f>
        <v>18.628595330834905</v>
      </c>
      <c r="AI114"/>
      <c r="AJ114" s="57" t="s">
        <v>514</v>
      </c>
      <c r="AK114" s="147">
        <f t="shared" si="2"/>
        <v>173.90882915805818</v>
      </c>
      <c r="AL114" s="147">
        <f t="shared" si="1"/>
        <v>20.553990129657464</v>
      </c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 s="67" t="s">
        <v>96</v>
      </c>
      <c r="B115" s="66">
        <f>_xlfn.IFNA(INDEX(Table_INPUT_2D[X],MATCH(Table8[[#This Row],[UID]],Table_INPUT_2D[Unique ID],0)),"")</f>
        <v>10395.959000000001</v>
      </c>
      <c r="C115" s="66">
        <f>_xlfn.IFNA(INDEX(Table_INPUT_2D[Y],MATCH(Table8[[#This Row],[UID]],Table_INPUT_2D[Unique ID],0)),"")</f>
        <v>4907.21</v>
      </c>
      <c r="D115" s="66">
        <f>_xlfn.IFNA(INDEX(Table_INPUT_2D[Z],MATCH(Table8[[#This Row],[UID]],Table_INPUT_2D[Unique ID],0)),"")</f>
        <v>205.261</v>
      </c>
      <c r="E115" s="65" t="s">
        <v>228</v>
      </c>
      <c r="G115" s="2" t="str">
        <f>IF($A$115 &lt;&gt; "",$A$115, "")</f>
        <v>MR9033</v>
      </c>
      <c r="H115" s="2">
        <f>IF($B$115 &lt;&gt; "",$B$115, "")</f>
        <v>10395.959000000001</v>
      </c>
      <c r="I115" s="2">
        <f>IF($C$115 &lt;&gt; "",$C$115, "")</f>
        <v>4907.21</v>
      </c>
      <c r="J115" s="2">
        <f>IF($D$115 &lt;&gt; "",$D$115, "")</f>
        <v>205.261</v>
      </c>
      <c r="K115">
        <f>AVERAGE($H$115,$H$116)</f>
        <v>10395.958000000001</v>
      </c>
      <c r="L115">
        <f>AVERAGE($I$115,$I$116)</f>
        <v>4907.2089999999998</v>
      </c>
      <c r="M115">
        <f>AVERAGE($J$115,$J$116)</f>
        <v>205.262</v>
      </c>
      <c r="N115"/>
      <c r="O115" s="56">
        <f>$O$113+($N$114)</f>
        <v>124.07218801652901</v>
      </c>
      <c r="P115"/>
      <c r="Q115"/>
      <c r="R115"/>
      <c r="S115"/>
      <c r="T115"/>
      <c r="U115"/>
      <c r="V115" s="156"/>
      <c r="W115" t="s">
        <v>143</v>
      </c>
      <c r="X115">
        <v>6</v>
      </c>
      <c r="Y115" s="147">
        <f>$O$249</f>
        <v>170.66818801652906</v>
      </c>
      <c r="Z115" s="202">
        <f>$X$23*($X$116/$X$115)+$Z$108</f>
        <v>-1.432291666510673E-4</v>
      </c>
      <c r="AA115" s="147">
        <f>$Y$115-$Z$115</f>
        <v>170.6683312456957</v>
      </c>
      <c r="AB115" s="147">
        <f>$P$250</f>
        <v>64.587477056314739</v>
      </c>
      <c r="AC115" s="124" t="s">
        <v>143</v>
      </c>
      <c r="AD115" s="124">
        <v>6</v>
      </c>
      <c r="AE115" s="147">
        <f>$AA$115</f>
        <v>170.6683312456957</v>
      </c>
      <c r="AF115" s="202">
        <f>$AD$23*($AD$115/$AD$116)+$AF$108</f>
        <v>1.1443144923032174E-2</v>
      </c>
      <c r="AG115" s="147">
        <f>$AE$115-$AF$115</f>
        <v>170.65688810077268</v>
      </c>
      <c r="AH115" s="147">
        <f>$AB$115</f>
        <v>64.587477056314739</v>
      </c>
      <c r="AI115"/>
      <c r="AJ115" s="57" t="s">
        <v>529</v>
      </c>
      <c r="AK115" s="147">
        <f t="shared" si="2"/>
        <v>171.05716961518627</v>
      </c>
      <c r="AL115" s="147">
        <f t="shared" si="1"/>
        <v>21.36587060009429</v>
      </c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 s="67" t="s">
        <v>96</v>
      </c>
      <c r="B116" s="66">
        <f>_xlfn.IFNA(INDEX(Table_INPUT_2D[X],MATCH(Table8[[#This Row],[UID]],Table_INPUT_2D[Unique ID],0)),"")</f>
        <v>10395.957</v>
      </c>
      <c r="C116" s="66">
        <f>_xlfn.IFNA(INDEX(Table_INPUT_2D[Y],MATCH(Table8[[#This Row],[UID]],Table_INPUT_2D[Unique ID],0)),"")</f>
        <v>4907.2079999999996</v>
      </c>
      <c r="D116" s="66">
        <f>_xlfn.IFNA(INDEX(Table_INPUT_2D[Z],MATCH(Table8[[#This Row],[UID]],Table_INPUT_2D[Unique ID],0)),"")</f>
        <v>205.26300000000001</v>
      </c>
      <c r="E116" s="65" t="s">
        <v>229</v>
      </c>
      <c r="G116" s="2" t="str">
        <f>IF($A$116 &lt;&gt; "",$A$116, "")</f>
        <v>MR9033</v>
      </c>
      <c r="H116" s="2">
        <f>IF($B$116 &lt;&gt; "",$B$116, "")</f>
        <v>10395.957</v>
      </c>
      <c r="I116" s="2">
        <f>IF($C$116 &lt;&gt; "",$C$116, "")</f>
        <v>4907.2079999999996</v>
      </c>
      <c r="J116" s="2">
        <f>IF($D$116 &lt;&gt; "",$D$116, "")</f>
        <v>205.26300000000001</v>
      </c>
      <c r="K116"/>
      <c r="L116"/>
      <c r="M116"/>
      <c r="N116">
        <f>$M$117-$M$115</f>
        <v>0.34450000000001069</v>
      </c>
      <c r="O116" s="56"/>
      <c r="P116">
        <f>SQRT(($K$117-$K$115)^2 +($L$117-$L$115)^2)</f>
        <v>17.926485217408885</v>
      </c>
      <c r="Q116"/>
      <c r="R116"/>
      <c r="S116"/>
      <c r="T116"/>
      <c r="U116"/>
      <c r="V116" s="156"/>
      <c r="W116" s="108" t="s">
        <v>469</v>
      </c>
      <c r="X116" s="57">
        <v>7</v>
      </c>
      <c r="Y116" s="147">
        <f>$O$251</f>
        <v>186.11518801652903</v>
      </c>
      <c r="Z116" s="202">
        <f>$X$23*($X$116/$X$116)+$Z$108</f>
        <v>-1.4062499998468425E-4</v>
      </c>
      <c r="AA116" s="147">
        <f>$Y$116-$Z$116</f>
        <v>186.115328641529</v>
      </c>
      <c r="AB116" s="147"/>
      <c r="AC116" s="124" t="s">
        <v>469</v>
      </c>
      <c r="AD116" s="124">
        <v>7</v>
      </c>
      <c r="AE116" s="147">
        <f>AA116</f>
        <v>186.115328641529</v>
      </c>
      <c r="AF116" s="202">
        <f>$AD$23*($AD$116/$AD$116)+$AF$108</f>
        <v>1.1627711776629468E-2</v>
      </c>
      <c r="AG116" s="147">
        <f>$AE$116-$AF$116</f>
        <v>186.10370092975236</v>
      </c>
      <c r="AH116" s="147"/>
      <c r="AI116"/>
      <c r="AJ116" s="57" t="s">
        <v>532</v>
      </c>
      <c r="AK116" s="147">
        <f t="shared" si="2"/>
        <v>168.20601007231437</v>
      </c>
      <c r="AL116" s="147">
        <f t="shared" si="1"/>
        <v>18.441548070863572</v>
      </c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 s="67" t="s">
        <v>97</v>
      </c>
      <c r="B117" s="66">
        <f>_xlfn.IFNA(INDEX(Table_INPUT_2D[X],MATCH(Table8[[#This Row],[UID]],Table_INPUT_2D[Unique ID],0)),"")</f>
        <v>10412.812</v>
      </c>
      <c r="C117" s="66">
        <f>_xlfn.IFNA(INDEX(Table_INPUT_2D[Y],MATCH(Table8[[#This Row],[UID]],Table_INPUT_2D[Unique ID],0)),"")</f>
        <v>4901.1009999999997</v>
      </c>
      <c r="D117" s="66">
        <f>_xlfn.IFNA(INDEX(Table_INPUT_2D[Z],MATCH(Table8[[#This Row],[UID]],Table_INPUT_2D[Unique ID],0)),"")</f>
        <v>205.60900000000001</v>
      </c>
      <c r="E117" s="65" t="s">
        <v>230</v>
      </c>
      <c r="G117" s="2" t="str">
        <f>IF($A$117 &lt;&gt; "",$A$117, "")</f>
        <v>MR9034</v>
      </c>
      <c r="H117" s="2">
        <f>IF($B$117 &lt;&gt; "",$B$117, "")</f>
        <v>10412.812</v>
      </c>
      <c r="I117" s="2">
        <f>IF($C$117 &lt;&gt; "",$C$117, "")</f>
        <v>4901.1009999999997</v>
      </c>
      <c r="J117" s="2">
        <f>IF($D$117 &lt;&gt; "",$D$117, "")</f>
        <v>205.60900000000001</v>
      </c>
      <c r="K117">
        <f>AVERAGE($H$117,$H$118)</f>
        <v>10412.812</v>
      </c>
      <c r="L117">
        <f>AVERAGE($I$117,$I$118)</f>
        <v>4901.1014999999998</v>
      </c>
      <c r="M117">
        <f>AVERAGE($J$117,$J$118)</f>
        <v>205.60650000000001</v>
      </c>
      <c r="N117"/>
      <c r="O117" s="56">
        <f>$O$115+($N$116)</f>
        <v>124.41668801652902</v>
      </c>
      <c r="P117"/>
      <c r="Q117"/>
      <c r="R117"/>
      <c r="S117"/>
      <c r="T117"/>
      <c r="U117"/>
      <c r="V117" s="156"/>
      <c r="W117" s="108"/>
      <c r="X117"/>
      <c r="Y117" s="147"/>
      <c r="Z117" s="202"/>
      <c r="AA117" s="147"/>
      <c r="AB117" s="147"/>
      <c r="AC117" s="124"/>
      <c r="AD117" s="124"/>
      <c r="AE117" s="147"/>
      <c r="AF117" s="202"/>
      <c r="AG117" s="147"/>
      <c r="AH117" s="147"/>
      <c r="AI117" s="156"/>
      <c r="AJ117" s="57" t="s">
        <v>535</v>
      </c>
      <c r="AK117" s="147">
        <f t="shared" si="2"/>
        <v>166.05585052944249</v>
      </c>
      <c r="AL117" s="147">
        <f t="shared" si="1"/>
        <v>21.518968214113421</v>
      </c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 s="67" t="s">
        <v>97</v>
      </c>
      <c r="B118" s="66">
        <f>_xlfn.IFNA(INDEX(Table_INPUT_2D[X],MATCH(Table8[[#This Row],[UID]],Table_INPUT_2D[Unique ID],0)),"")</f>
        <v>10412.812</v>
      </c>
      <c r="C118" s="66">
        <f>_xlfn.IFNA(INDEX(Table_INPUT_2D[Y],MATCH(Table8[[#This Row],[UID]],Table_INPUT_2D[Unique ID],0)),"")</f>
        <v>4901.1019999999999</v>
      </c>
      <c r="D118" s="66">
        <f>_xlfn.IFNA(INDEX(Table_INPUT_2D[Z],MATCH(Table8[[#This Row],[UID]],Table_INPUT_2D[Unique ID],0)),"")</f>
        <v>205.60400000000001</v>
      </c>
      <c r="E118" s="65" t="s">
        <v>231</v>
      </c>
      <c r="G118" s="2" t="str">
        <f>IF($A$118 &lt;&gt; "",$A$118, "")</f>
        <v>MR9034</v>
      </c>
      <c r="H118" s="2">
        <f>IF($B$118 &lt;&gt; "",$B$118, "")</f>
        <v>10412.812</v>
      </c>
      <c r="I118" s="2">
        <f>IF($C$118 &lt;&gt; "",$C$118, "")</f>
        <v>4901.1019999999999</v>
      </c>
      <c r="J118" s="2">
        <f>IF($D$118 &lt;&gt; "",$D$118, "")</f>
        <v>205.60400000000001</v>
      </c>
      <c r="K118"/>
      <c r="L118"/>
      <c r="M118"/>
      <c r="N118">
        <f>$M$119-$M$117</f>
        <v>0.45399999999997931</v>
      </c>
      <c r="O118" s="56"/>
      <c r="P118">
        <f>SQRT(($K$119-$K$117)^2 +($L$119-$L$117)^2)</f>
        <v>20.919158569359428</v>
      </c>
      <c r="Q118"/>
      <c r="R118"/>
      <c r="S118"/>
      <c r="T118"/>
      <c r="U118"/>
      <c r="V118" s="156">
        <v>10</v>
      </c>
      <c r="W118" s="157" t="s">
        <v>471</v>
      </c>
      <c r="X118" s="160">
        <v>1</v>
      </c>
      <c r="Y118" s="161">
        <f>O261</f>
        <v>188.45768801652906</v>
      </c>
      <c r="Z118" s="203">
        <f>$X$23*($X$118/$X$120)+$Z$116</f>
        <v>-1.4583333331745033E-4</v>
      </c>
      <c r="AA118" s="162">
        <f>$Y118-$Z118</f>
        <v>188.45783384986237</v>
      </c>
      <c r="AB118" s="163">
        <f>P262</f>
        <v>21.690745889665184</v>
      </c>
      <c r="AC118" s="164" t="s">
        <v>471</v>
      </c>
      <c r="AD118" s="165">
        <v>1</v>
      </c>
      <c r="AE118" s="163">
        <f>AA118</f>
        <v>188.45783384986237</v>
      </c>
      <c r="AF118" s="203">
        <f>$AD$23*($AD$118/$AD$120)+$AF$116</f>
        <v>1.2058367768356485E-2</v>
      </c>
      <c r="AG118" s="162">
        <f>$AE118-$AF118</f>
        <v>188.44577548209401</v>
      </c>
      <c r="AH118" s="163">
        <f>AB118</f>
        <v>21.690745889665184</v>
      </c>
      <c r="AI118" s="157"/>
      <c r="AJ118" s="57" t="s">
        <v>538</v>
      </c>
      <c r="AK118" s="147">
        <f t="shared" si="2"/>
        <v>164.14319098657057</v>
      </c>
      <c r="AL118" s="147">
        <f t="shared" si="1"/>
        <v>19.465151714024852</v>
      </c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 s="67" t="s">
        <v>98</v>
      </c>
      <c r="B119" s="66">
        <f>_xlfn.IFNA(INDEX(Table_INPUT_2D[X],MATCH(Table8[[#This Row],[UID]],Table_INPUT_2D[Unique ID],0)),"")</f>
        <v>10432.555</v>
      </c>
      <c r="C119" s="66">
        <f>_xlfn.IFNA(INDEX(Table_INPUT_2D[Y],MATCH(Table8[[#This Row],[UID]],Table_INPUT_2D[Unique ID],0)),"")</f>
        <v>4894.1850000000004</v>
      </c>
      <c r="D119" s="66">
        <f>_xlfn.IFNA(INDEX(Table_INPUT_2D[Z],MATCH(Table8[[#This Row],[UID]],Table_INPUT_2D[Unique ID],0)),"")</f>
        <v>206.06</v>
      </c>
      <c r="E119" s="65" t="s">
        <v>232</v>
      </c>
      <c r="G119" s="2" t="str">
        <f>IF($A$119 &lt;&gt; "",$A$119, "")</f>
        <v>MR9035</v>
      </c>
      <c r="H119" s="2">
        <f>IF($B$119 &lt;&gt; "",$B$119, "")</f>
        <v>10432.555</v>
      </c>
      <c r="I119" s="2">
        <f>IF($C$119 &lt;&gt; "",$C$119, "")</f>
        <v>4894.1850000000004</v>
      </c>
      <c r="J119" s="2">
        <f>IF($D$119 &lt;&gt; "",$D$119, "")</f>
        <v>206.06</v>
      </c>
      <c r="K119">
        <f>AVERAGE($H$119,$H$120)</f>
        <v>10432.5545</v>
      </c>
      <c r="L119">
        <f>AVERAGE($I$119,$I$120)</f>
        <v>4894.1845000000003</v>
      </c>
      <c r="M119">
        <f>AVERAGE($J$119,$J$120)</f>
        <v>206.06049999999999</v>
      </c>
      <c r="N119"/>
      <c r="O119" s="56">
        <f>$O$117+($N$118)</f>
        <v>124.870688016529</v>
      </c>
      <c r="P119"/>
      <c r="Q119"/>
      <c r="R119"/>
      <c r="S119"/>
      <c r="T119"/>
      <c r="U119"/>
      <c r="V119" s="156"/>
      <c r="W119" s="157" t="s">
        <v>474</v>
      </c>
      <c r="X119" s="160">
        <v>2</v>
      </c>
      <c r="Y119" s="161">
        <f>O263</f>
        <v>189.56818801652901</v>
      </c>
      <c r="Z119" s="203">
        <f>$X$23*($X$119/$X$120)+$Z$116</f>
        <v>-1.5104166665021643E-4</v>
      </c>
      <c r="AA119" s="162">
        <f t="shared" ref="AA119:AA195" si="3">$Y119-$Z119</f>
        <v>189.56833905819565</v>
      </c>
      <c r="AB119" s="163">
        <f>P264</f>
        <v>17.988383612764689</v>
      </c>
      <c r="AC119" s="164" t="s">
        <v>474</v>
      </c>
      <c r="AD119" s="165">
        <v>2</v>
      </c>
      <c r="AE119" s="163">
        <f t="shared" ref="AE119:AE179" si="4">AA119</f>
        <v>189.56833905819565</v>
      </c>
      <c r="AF119" s="203">
        <f>$AD$23*($AD$119/$AD$120)+$AF$116</f>
        <v>1.2489023760083503E-2</v>
      </c>
      <c r="AG119" s="162">
        <f t="shared" ref="AG119:AG179" si="5">$AE119-$AF119</f>
        <v>189.55585003443557</v>
      </c>
      <c r="AH119" s="163">
        <f t="shared" ref="AH119:AH178" si="6">AB119</f>
        <v>17.988383612764689</v>
      </c>
      <c r="AI119" s="157"/>
      <c r="AJ119" s="57" t="s">
        <v>541</v>
      </c>
      <c r="AK119" s="147">
        <f t="shared" si="2"/>
        <v>162.35253144369867</v>
      </c>
      <c r="AL119" s="147">
        <f t="shared" si="1"/>
        <v>18.937555313449863</v>
      </c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 s="67" t="s">
        <v>98</v>
      </c>
      <c r="B120" s="66">
        <f>_xlfn.IFNA(INDEX(Table_INPUT_2D[X],MATCH(Table8[[#This Row],[UID]],Table_INPUT_2D[Unique ID],0)),"")</f>
        <v>10432.554</v>
      </c>
      <c r="C120" s="66">
        <f>_xlfn.IFNA(INDEX(Table_INPUT_2D[Y],MATCH(Table8[[#This Row],[UID]],Table_INPUT_2D[Unique ID],0)),"")</f>
        <v>4894.1840000000002</v>
      </c>
      <c r="D120" s="66">
        <f>_xlfn.IFNA(INDEX(Table_INPUT_2D[Z],MATCH(Table8[[#This Row],[UID]],Table_INPUT_2D[Unique ID],0)),"")</f>
        <v>206.06100000000001</v>
      </c>
      <c r="E120" s="65" t="s">
        <v>233</v>
      </c>
      <c r="G120" s="2" t="str">
        <f>IF($A$120 &lt;&gt; "",$A$120, "")</f>
        <v>MR9035</v>
      </c>
      <c r="H120" s="2">
        <f>IF($B$120 &lt;&gt; "",$B$120, "")</f>
        <v>10432.554</v>
      </c>
      <c r="I120" s="2">
        <f>IF($C$120 &lt;&gt; "",$C$120, "")</f>
        <v>4894.1840000000002</v>
      </c>
      <c r="J120" s="2">
        <f>IF($D$120 &lt;&gt; "",$D$120, "")</f>
        <v>206.06100000000001</v>
      </c>
      <c r="K120"/>
      <c r="L120"/>
      <c r="M120"/>
      <c r="N120">
        <f>$M$121-$M$119</f>
        <v>0.2680000000000291</v>
      </c>
      <c r="O120" s="56"/>
      <c r="P120">
        <f>SQRT(($K$121-$K$119)^2 +($L$121-$L$119)^2)</f>
        <v>20.977588910549354</v>
      </c>
      <c r="Q120"/>
      <c r="R120"/>
      <c r="S120"/>
      <c r="T120"/>
      <c r="U120"/>
      <c r="V120" s="156"/>
      <c r="W120" s="157" t="s">
        <v>477</v>
      </c>
      <c r="X120" s="160">
        <v>3</v>
      </c>
      <c r="Y120" s="161">
        <f>O265</f>
        <v>189.35818801652903</v>
      </c>
      <c r="Z120" s="203">
        <f>$X$23*($X$120/$X$120)+$Z$116</f>
        <v>-1.562499999829825E-4</v>
      </c>
      <c r="AA120" s="162">
        <f t="shared" si="3"/>
        <v>189.358344266529</v>
      </c>
      <c r="AB120" s="163">
        <f>P274</f>
        <v>22.303857827738717</v>
      </c>
      <c r="AC120" s="164" t="s">
        <v>477</v>
      </c>
      <c r="AD120" s="165">
        <v>3</v>
      </c>
      <c r="AE120" s="163">
        <f t="shared" si="4"/>
        <v>189.358344266529</v>
      </c>
      <c r="AF120" s="203">
        <f>$AD$23*($AD$120/$AD$120)+$AF$116</f>
        <v>1.291967975181052E-2</v>
      </c>
      <c r="AG120" s="162">
        <f t="shared" si="5"/>
        <v>189.3454245867772</v>
      </c>
      <c r="AH120" s="163">
        <f t="shared" si="6"/>
        <v>22.303857827738717</v>
      </c>
      <c r="AI120" s="108"/>
      <c r="AJ120" s="57" t="s">
        <v>544</v>
      </c>
      <c r="AK120" s="147">
        <f t="shared" si="2"/>
        <v>160.81187190082676</v>
      </c>
      <c r="AL120" s="147">
        <f t="shared" si="1"/>
        <v>18.763434347155425</v>
      </c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 s="67" t="s">
        <v>99</v>
      </c>
      <c r="B121" s="66">
        <f>_xlfn.IFNA(INDEX(Table_INPUT_2D[X],MATCH(Table8[[#This Row],[UID]],Table_INPUT_2D[Unique ID],0)),"")</f>
        <v>10452.135</v>
      </c>
      <c r="C121" s="66">
        <f>_xlfn.IFNA(INDEX(Table_INPUT_2D[Y],MATCH(Table8[[#This Row],[UID]],Table_INPUT_2D[Unique ID],0)),"")</f>
        <v>4886.6570000000002</v>
      </c>
      <c r="D121" s="66">
        <f>_xlfn.IFNA(INDEX(Table_INPUT_2D[Z],MATCH(Table8[[#This Row],[UID]],Table_INPUT_2D[Unique ID],0)),"")</f>
        <v>206.32900000000001</v>
      </c>
      <c r="E121" s="65" t="s">
        <v>234</v>
      </c>
      <c r="G121" s="2" t="str">
        <f>IF($A$121 &lt;&gt; "",$A$121, "")</f>
        <v>MR9036</v>
      </c>
      <c r="H121" s="2">
        <f>IF($B$121 &lt;&gt; "",$B$121, "")</f>
        <v>10452.135</v>
      </c>
      <c r="I121" s="2">
        <f>IF($C$121 &lt;&gt; "",$C$121, "")</f>
        <v>4886.6570000000002</v>
      </c>
      <c r="J121" s="2">
        <f>IF($D$121 &lt;&gt; "",$D$121, "")</f>
        <v>206.32900000000001</v>
      </c>
      <c r="K121">
        <f>AVERAGE($H$121,$H$122)</f>
        <v>10452.135</v>
      </c>
      <c r="L121">
        <f>AVERAGE($I$121,$I$122)</f>
        <v>4886.6570000000002</v>
      </c>
      <c r="M121">
        <f>AVERAGE($J$121,$J$122)</f>
        <v>206.32850000000002</v>
      </c>
      <c r="N121"/>
      <c r="O121" s="56">
        <f>$O$119+($N$120)</f>
        <v>125.13868801652903</v>
      </c>
      <c r="P121"/>
      <c r="Q121"/>
      <c r="R121"/>
      <c r="S121"/>
      <c r="T121"/>
      <c r="U121"/>
      <c r="V121" s="156"/>
      <c r="W121" s="157"/>
      <c r="X121" s="160"/>
      <c r="Y121" s="161"/>
      <c r="Z121" s="166"/>
      <c r="AA121" s="166"/>
      <c r="AB121" s="163"/>
      <c r="AC121" s="164"/>
      <c r="AD121" s="165"/>
      <c r="AE121" s="163"/>
      <c r="AF121" s="205"/>
      <c r="AG121" s="147"/>
      <c r="AH121" s="163"/>
      <c r="AI121" s="108"/>
      <c r="AJ121" s="57" t="s">
        <v>554</v>
      </c>
      <c r="AK121" s="147">
        <f t="shared" si="2"/>
        <v>159.63076553891219</v>
      </c>
      <c r="AL121" s="147">
        <f t="shared" si="1"/>
        <v>18.841807748992224</v>
      </c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 s="67" t="s">
        <v>99</v>
      </c>
      <c r="B122" s="66">
        <f>_xlfn.IFNA(INDEX(Table_INPUT_2D[X],MATCH(Table8[[#This Row],[UID]],Table_INPUT_2D[Unique ID],0)),"")</f>
        <v>10452.135</v>
      </c>
      <c r="C122" s="66">
        <f>_xlfn.IFNA(INDEX(Table_INPUT_2D[Y],MATCH(Table8[[#This Row],[UID]],Table_INPUT_2D[Unique ID],0)),"")</f>
        <v>4886.6570000000002</v>
      </c>
      <c r="D122" s="66">
        <f>_xlfn.IFNA(INDEX(Table_INPUT_2D[Z],MATCH(Table8[[#This Row],[UID]],Table_INPUT_2D[Unique ID],0)),"")</f>
        <v>206.328</v>
      </c>
      <c r="E122" s="65" t="s">
        <v>235</v>
      </c>
      <c r="G122" s="2" t="str">
        <f>IF($A$122 &lt;&gt; "",$A$122, "")</f>
        <v>MR9036</v>
      </c>
      <c r="H122" s="2">
        <f>IF($B$122 &lt;&gt; "",$B$122, "")</f>
        <v>10452.135</v>
      </c>
      <c r="I122" s="2">
        <f>IF($C$122 &lt;&gt; "",$C$122, "")</f>
        <v>4886.6570000000002</v>
      </c>
      <c r="J122" s="2">
        <f>IF($D$122 &lt;&gt; "",$D$122, "")</f>
        <v>206.328</v>
      </c>
      <c r="K122"/>
      <c r="L122"/>
      <c r="M122"/>
      <c r="N122">
        <f>$M$123-$M$121</f>
        <v>0.50499999999999545</v>
      </c>
      <c r="O122" s="56"/>
      <c r="P122">
        <f>SQRT(($K$123-$K$121)^2 +($L$123-$L$121)^2)</f>
        <v>18.180898802038751</v>
      </c>
      <c r="Q122"/>
      <c r="R122"/>
      <c r="S122"/>
      <c r="T122"/>
      <c r="U122"/>
      <c r="V122" s="156">
        <v>11</v>
      </c>
      <c r="W122" s="157" t="s">
        <v>474</v>
      </c>
      <c r="X122" s="160">
        <v>1</v>
      </c>
      <c r="Y122" s="77">
        <f>O275</f>
        <v>189.56768801652902</v>
      </c>
      <c r="Z122" s="203">
        <f>$X$23*($X$122/$X$126)+$Z$120</f>
        <v>-1.5937499998264215E-4</v>
      </c>
      <c r="AA122" s="162">
        <f t="shared" si="3"/>
        <v>189.567847391529</v>
      </c>
      <c r="AB122" s="163">
        <f>P276</f>
        <v>17.986930261999738</v>
      </c>
      <c r="AC122" s="164" t="s">
        <v>698</v>
      </c>
      <c r="AD122" s="165">
        <v>1</v>
      </c>
      <c r="AE122" s="163">
        <f t="shared" si="4"/>
        <v>189.567847391529</v>
      </c>
      <c r="AF122" s="203">
        <f>$AD$23*($AD$122/$AD$126)+$AF$120</f>
        <v>1.317807334684673E-2</v>
      </c>
      <c r="AG122" s="162">
        <f t="shared" si="5"/>
        <v>189.55466931818216</v>
      </c>
      <c r="AH122" s="163">
        <f t="shared" si="6"/>
        <v>17.986930261999738</v>
      </c>
      <c r="AI122" s="108"/>
      <c r="AJ122" s="57" t="s">
        <v>557</v>
      </c>
      <c r="AK122" s="147">
        <f t="shared" si="2"/>
        <v>158.3626591769976</v>
      </c>
      <c r="AL122" s="147">
        <f t="shared" si="1"/>
        <v>21.663136245706557</v>
      </c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 s="67" t="s">
        <v>100</v>
      </c>
      <c r="B123" s="66">
        <f>_xlfn.IFNA(INDEX(Table_INPUT_2D[X],MATCH(Table8[[#This Row],[UID]],Table_INPUT_2D[Unique ID],0)),"")</f>
        <v>10469.478999999999</v>
      </c>
      <c r="C123" s="66">
        <f>_xlfn.IFNA(INDEX(Table_INPUT_2D[Y],MATCH(Table8[[#This Row],[UID]],Table_INPUT_2D[Unique ID],0)),"")</f>
        <v>4881.2060000000001</v>
      </c>
      <c r="D123" s="66">
        <f>_xlfn.IFNA(INDEX(Table_INPUT_2D[Z],MATCH(Table8[[#This Row],[UID]],Table_INPUT_2D[Unique ID],0)),"")</f>
        <v>206.834</v>
      </c>
      <c r="E123" s="65" t="s">
        <v>236</v>
      </c>
      <c r="G123" s="2" t="str">
        <f>IF($A$123 &lt;&gt; "",$A$123, "")</f>
        <v>MR9037</v>
      </c>
      <c r="H123" s="2">
        <f>IF($B$123 &lt;&gt; "",$B$123, "")</f>
        <v>10469.478999999999</v>
      </c>
      <c r="I123" s="2">
        <f>IF($C$123 &lt;&gt; "",$C$123, "")</f>
        <v>4881.2060000000001</v>
      </c>
      <c r="J123" s="2">
        <f>IF($D$123 &lt;&gt; "",$D$123, "")</f>
        <v>206.834</v>
      </c>
      <c r="K123">
        <f>AVERAGE($H$123,$H$124)</f>
        <v>10469.479499999999</v>
      </c>
      <c r="L123">
        <f>AVERAGE($I$123,$I$124)</f>
        <v>4881.2060000000001</v>
      </c>
      <c r="M123">
        <f>AVERAGE($J$123,$J$124)</f>
        <v>206.83350000000002</v>
      </c>
      <c r="N123"/>
      <c r="O123" s="56">
        <f>$O$121+($N$122)</f>
        <v>125.64368801652903</v>
      </c>
      <c r="P123"/>
      <c r="Q123"/>
      <c r="R123"/>
      <c r="S123"/>
      <c r="T123"/>
      <c r="U123"/>
      <c r="V123" s="156"/>
      <c r="W123" s="157" t="s">
        <v>494</v>
      </c>
      <c r="X123" s="160">
        <v>2</v>
      </c>
      <c r="Y123" s="77">
        <f>O277</f>
        <v>186.47818801652903</v>
      </c>
      <c r="Z123" s="203">
        <f>$X$23*($X$123/$X$126)+$Z$120</f>
        <v>-1.624999999823018E-4</v>
      </c>
      <c r="AA123" s="162">
        <f t="shared" si="3"/>
        <v>186.47835051652902</v>
      </c>
      <c r="AB123" s="163">
        <f>P278</f>
        <v>24.635425326143146</v>
      </c>
      <c r="AC123" s="164" t="s">
        <v>494</v>
      </c>
      <c r="AD123" s="165">
        <v>2</v>
      </c>
      <c r="AE123" s="163">
        <f t="shared" si="4"/>
        <v>186.47835051652902</v>
      </c>
      <c r="AF123" s="203">
        <f>$AD$23*($AD$123/$AD$126)+$AF$120</f>
        <v>1.3436466941882941E-2</v>
      </c>
      <c r="AG123" s="162">
        <f t="shared" si="5"/>
        <v>186.46491404958715</v>
      </c>
      <c r="AH123" s="163">
        <f t="shared" si="6"/>
        <v>24.635425326143146</v>
      </c>
      <c r="AI123" s="108"/>
      <c r="AJ123" s="57" t="s">
        <v>560</v>
      </c>
      <c r="AK123" s="147">
        <f t="shared" si="2"/>
        <v>156.92955281508296</v>
      </c>
      <c r="AL123" s="147">
        <f t="shared" si="1"/>
        <v>18.654991021171991</v>
      </c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 s="67" t="s">
        <v>100</v>
      </c>
      <c r="B124" s="66">
        <f>_xlfn.IFNA(INDEX(Table_INPUT_2D[X],MATCH(Table8[[#This Row],[UID]],Table_INPUT_2D[Unique ID],0)),"")</f>
        <v>10469.48</v>
      </c>
      <c r="C124" s="66">
        <f>_xlfn.IFNA(INDEX(Table_INPUT_2D[Y],MATCH(Table8[[#This Row],[UID]],Table_INPUT_2D[Unique ID],0)),"")</f>
        <v>4881.2060000000001</v>
      </c>
      <c r="D124" s="66">
        <f>_xlfn.IFNA(INDEX(Table_INPUT_2D[Z],MATCH(Table8[[#This Row],[UID]],Table_INPUT_2D[Unique ID],0)),"")</f>
        <v>206.833</v>
      </c>
      <c r="E124" s="65" t="s">
        <v>237</v>
      </c>
      <c r="G124" s="2" t="str">
        <f>IF($A$124 &lt;&gt; "",$A$124, "")</f>
        <v>MR9037</v>
      </c>
      <c r="H124" s="2">
        <f>IF($B$124 &lt;&gt; "",$B$124, "")</f>
        <v>10469.48</v>
      </c>
      <c r="I124" s="2">
        <f>IF($C$124 &lt;&gt; "",$C$124, "")</f>
        <v>4881.2060000000001</v>
      </c>
      <c r="J124" s="2">
        <f>IF($D$124 &lt;&gt; "",$D$124, "")</f>
        <v>206.833</v>
      </c>
      <c r="K124"/>
      <c r="L124"/>
      <c r="M124"/>
      <c r="N124">
        <f>$M$125-$M$123</f>
        <v>0.82949999999999591</v>
      </c>
      <c r="O124" s="56"/>
      <c r="P124">
        <f>SQRT(($K$125-$K$123)^2 +($L$125-$L$123)^2)</f>
        <v>20.783578499624507</v>
      </c>
      <c r="Q124"/>
      <c r="R124"/>
      <c r="S124"/>
      <c r="T124"/>
      <c r="U124"/>
      <c r="V124" s="156"/>
      <c r="W124" s="157" t="s">
        <v>508</v>
      </c>
      <c r="X124" s="160">
        <v>3</v>
      </c>
      <c r="Y124" s="77">
        <f>O279</f>
        <v>176.68468801652904</v>
      </c>
      <c r="Z124" s="203">
        <f>$X$23*($X$124/$X$126)+$Z$120</f>
        <v>-1.6562499998196145E-4</v>
      </c>
      <c r="AA124" s="162">
        <f t="shared" si="3"/>
        <v>176.68485364152903</v>
      </c>
      <c r="AB124" s="163">
        <f>P280</f>
        <v>18.703351491109856</v>
      </c>
      <c r="AC124" s="164" t="s">
        <v>733</v>
      </c>
      <c r="AD124" s="165">
        <v>3</v>
      </c>
      <c r="AE124" s="163">
        <f t="shared" si="4"/>
        <v>176.68485364152903</v>
      </c>
      <c r="AF124" s="203">
        <f>$AD$23*($AD$124/$AD$126)+$AF$120</f>
        <v>1.3694860536919151E-2</v>
      </c>
      <c r="AG124" s="162">
        <f t="shared" si="5"/>
        <v>176.6711587809921</v>
      </c>
      <c r="AH124" s="163">
        <f t="shared" si="6"/>
        <v>18.703351491109856</v>
      </c>
      <c r="AI124" s="148"/>
      <c r="AJ124" s="57" t="s">
        <v>563</v>
      </c>
      <c r="AK124" s="147">
        <f t="shared" si="2"/>
        <v>155.8609464531684</v>
      </c>
      <c r="AL124" s="147">
        <f t="shared" si="1"/>
        <v>20.873276371953242</v>
      </c>
      <c r="AM124" s="148"/>
      <c r="AN124" s="148"/>
      <c r="AO124" s="148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 s="67" t="s">
        <v>101</v>
      </c>
      <c r="B125" s="66">
        <f>_xlfn.IFNA(INDEX(Table_INPUT_2D[X],MATCH(Table8[[#This Row],[UID]],Table_INPUT_2D[Unique ID],0)),"")</f>
        <v>10489.29</v>
      </c>
      <c r="C125" s="66">
        <f>_xlfn.IFNA(INDEX(Table_INPUT_2D[Y],MATCH(Table8[[#This Row],[UID]],Table_INPUT_2D[Unique ID],0)),"")</f>
        <v>4874.9210000000003</v>
      </c>
      <c r="D125" s="66">
        <f>_xlfn.IFNA(INDEX(Table_INPUT_2D[Z],MATCH(Table8[[#This Row],[UID]],Table_INPUT_2D[Unique ID],0)),"")</f>
        <v>207.66300000000001</v>
      </c>
      <c r="E125" s="65" t="s">
        <v>238</v>
      </c>
      <c r="G125" s="2" t="str">
        <f>IF($A$125 &lt;&gt; "",$A$125, "")</f>
        <v>MR9038</v>
      </c>
      <c r="H125" s="2">
        <f>IF($B$125 &lt;&gt; "",$B$125, "")</f>
        <v>10489.29</v>
      </c>
      <c r="I125" s="2">
        <f>IF($C$125 &lt;&gt; "",$C$125, "")</f>
        <v>4874.9210000000003</v>
      </c>
      <c r="J125" s="2">
        <f>IF($D$125 &lt;&gt; "",$D$125, "")</f>
        <v>207.66300000000001</v>
      </c>
      <c r="K125">
        <f>AVERAGE($H$125,$H$126)</f>
        <v>10489.29</v>
      </c>
      <c r="L125">
        <f>AVERAGE($I$125,$I$126)</f>
        <v>4874.9210000000003</v>
      </c>
      <c r="M125">
        <f>AVERAGE($J$125,$J$126)</f>
        <v>207.66300000000001</v>
      </c>
      <c r="N125"/>
      <c r="O125" s="56">
        <f>$O$123+($N$124)</f>
        <v>126.47318801652902</v>
      </c>
      <c r="P125"/>
      <c r="Q125"/>
      <c r="R125"/>
      <c r="S125"/>
      <c r="T125"/>
      <c r="U125"/>
      <c r="V125" s="156"/>
      <c r="W125" s="157" t="s">
        <v>514</v>
      </c>
      <c r="X125" s="160">
        <v>4</v>
      </c>
      <c r="Y125" s="77">
        <f>O281</f>
        <v>173.92368801652901</v>
      </c>
      <c r="Z125" s="203">
        <f>$X$23*($X$125/$X$126)+$Z$120</f>
        <v>-1.687499999816211E-4</v>
      </c>
      <c r="AA125" s="162">
        <f t="shared" si="3"/>
        <v>173.92385676652898</v>
      </c>
      <c r="AB125" s="163">
        <f>P282</f>
        <v>0</v>
      </c>
      <c r="AC125" s="164" t="s">
        <v>734</v>
      </c>
      <c r="AD125" s="165">
        <v>4</v>
      </c>
      <c r="AE125" s="163">
        <f t="shared" si="4"/>
        <v>173.92385676652898</v>
      </c>
      <c r="AF125" s="203">
        <f>$AD$23*($AD$125/$AD$126)+$AF$120</f>
        <v>1.3953254131955362E-2</v>
      </c>
      <c r="AG125" s="162">
        <f t="shared" si="5"/>
        <v>173.90990351239702</v>
      </c>
      <c r="AH125" s="163">
        <f t="shared" si="6"/>
        <v>0</v>
      </c>
      <c r="AI125" s="148"/>
      <c r="AJ125" s="57" t="s">
        <v>566</v>
      </c>
      <c r="AK125" s="147">
        <f t="shared" si="2"/>
        <v>154.82284009125377</v>
      </c>
      <c r="AL125" s="147">
        <f t="shared" si="1"/>
        <v>18.471586755068891</v>
      </c>
      <c r="AM125" s="148"/>
      <c r="AN125" s="148"/>
      <c r="AO125" s="148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 s="67" t="s">
        <v>101</v>
      </c>
      <c r="B126" s="66">
        <f>_xlfn.IFNA(INDEX(Table_INPUT_2D[X],MATCH(Table8[[#This Row],[UID]],Table_INPUT_2D[Unique ID],0)),"")</f>
        <v>10489.29</v>
      </c>
      <c r="C126" s="66">
        <f>_xlfn.IFNA(INDEX(Table_INPUT_2D[Y],MATCH(Table8[[#This Row],[UID]],Table_INPUT_2D[Unique ID],0)),"")</f>
        <v>4874.9210000000003</v>
      </c>
      <c r="D126" s="66">
        <f>_xlfn.IFNA(INDEX(Table_INPUT_2D[Z],MATCH(Table8[[#This Row],[UID]],Table_INPUT_2D[Unique ID],0)),"")</f>
        <v>207.66300000000001</v>
      </c>
      <c r="E126" s="65" t="s">
        <v>239</v>
      </c>
      <c r="G126" s="2" t="str">
        <f>IF($A$126 &lt;&gt; "",$A$126, "")</f>
        <v>MR9038</v>
      </c>
      <c r="H126" s="2">
        <f>IF($B$126 &lt;&gt; "",$B$126, "")</f>
        <v>10489.29</v>
      </c>
      <c r="I126" s="2">
        <f>IF($C$126 &lt;&gt; "",$C$126, "")</f>
        <v>4874.9210000000003</v>
      </c>
      <c r="J126" s="2">
        <f>IF($D$126 &lt;&gt; "",$D$126, "")</f>
        <v>207.66300000000001</v>
      </c>
      <c r="K126"/>
      <c r="L126"/>
      <c r="M126"/>
      <c r="N126">
        <f>$M$127-$M$125</f>
        <v>0.49849999999997863</v>
      </c>
      <c r="O126" s="56"/>
      <c r="P126">
        <f>SQRT(($K$127-$K$125)^2 +($L$127-$L$125)^2)</f>
        <v>20.724628012342066</v>
      </c>
      <c r="Q126"/>
      <c r="R126"/>
      <c r="S126"/>
      <c r="T126"/>
      <c r="U126"/>
      <c r="V126" s="156"/>
      <c r="W126" s="157" t="s">
        <v>500</v>
      </c>
      <c r="X126" s="160">
        <v>5</v>
      </c>
      <c r="Y126" s="77">
        <f>O283</f>
        <v>181.40868801652897</v>
      </c>
      <c r="Z126" s="203">
        <f>$X$23*($X$126/$X$126)+$Z$120</f>
        <v>-1.7187499998128075E-4</v>
      </c>
      <c r="AA126" s="162">
        <f t="shared" si="3"/>
        <v>181.40885989152895</v>
      </c>
      <c r="AB126" s="163">
        <f>P292</f>
        <v>20.148090635341855</v>
      </c>
      <c r="AC126" s="164" t="s">
        <v>500</v>
      </c>
      <c r="AD126" s="165">
        <v>5</v>
      </c>
      <c r="AE126" s="163">
        <f t="shared" si="4"/>
        <v>181.40885989152895</v>
      </c>
      <c r="AF126" s="203">
        <f>$AD$23*($AD$126/$AD$126)+$AF$120</f>
        <v>1.4211647726991572E-2</v>
      </c>
      <c r="AG126" s="162">
        <f t="shared" si="5"/>
        <v>181.39464824380195</v>
      </c>
      <c r="AH126" s="163">
        <f t="shared" si="6"/>
        <v>20.148090635341855</v>
      </c>
      <c r="AI126" s="148"/>
      <c r="AJ126" s="57" t="s">
        <v>569</v>
      </c>
      <c r="AK126" s="147">
        <f t="shared" si="2"/>
        <v>154.0307337293392</v>
      </c>
      <c r="AL126" s="147">
        <f t="shared" si="1"/>
        <v>21.050225800452278</v>
      </c>
      <c r="AM126" s="148"/>
      <c r="AN126" s="148"/>
      <c r="AO126" s="148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 s="67" t="s">
        <v>102</v>
      </c>
      <c r="B127" s="66">
        <f>_xlfn.IFNA(INDEX(Table_INPUT_2D[X],MATCH(Table8[[#This Row],[UID]],Table_INPUT_2D[Unique ID],0)),"")</f>
        <v>10509.06</v>
      </c>
      <c r="C127" s="66">
        <f>_xlfn.IFNA(INDEX(Table_INPUT_2D[Y],MATCH(Table8[[#This Row],[UID]],Table_INPUT_2D[Unique ID],0)),"")</f>
        <v>4868.7030000000004</v>
      </c>
      <c r="D127" s="66">
        <f>_xlfn.IFNA(INDEX(Table_INPUT_2D[Z],MATCH(Table8[[#This Row],[UID]],Table_INPUT_2D[Unique ID],0)),"")</f>
        <v>208.161</v>
      </c>
      <c r="E127" s="65" t="s">
        <v>240</v>
      </c>
      <c r="G127" s="2" t="str">
        <f>IF($A$127 &lt;&gt; "",$A$127, "")</f>
        <v>MR9039</v>
      </c>
      <c r="H127" s="2">
        <f>IF($B$127 &lt;&gt; "",$B$127, "")</f>
        <v>10509.06</v>
      </c>
      <c r="I127" s="2">
        <f>IF($C$127 &lt;&gt; "",$C$127, "")</f>
        <v>4868.7030000000004</v>
      </c>
      <c r="J127" s="2">
        <f>IF($D$127 &lt;&gt; "",$D$127, "")</f>
        <v>208.161</v>
      </c>
      <c r="K127">
        <f>AVERAGE($H$127,$H$128)</f>
        <v>10509.06</v>
      </c>
      <c r="L127">
        <f>AVERAGE($I$127,$I$128)</f>
        <v>4868.7034999999996</v>
      </c>
      <c r="M127">
        <f>AVERAGE($J$127,$J$128)</f>
        <v>208.16149999999999</v>
      </c>
      <c r="N127"/>
      <c r="O127" s="56">
        <f>$O$125+($N$126)</f>
        <v>126.971688016529</v>
      </c>
      <c r="P127"/>
      <c r="Q127"/>
      <c r="R127"/>
      <c r="S127"/>
      <c r="T127"/>
      <c r="U127"/>
      <c r="V127" s="156"/>
      <c r="W127" s="157"/>
      <c r="X127" s="160"/>
      <c r="Y127" s="77"/>
      <c r="Z127" s="166"/>
      <c r="AA127" s="166"/>
      <c r="AB127" s="167"/>
      <c r="AC127" s="168"/>
      <c r="AD127" s="165"/>
      <c r="AE127" s="163"/>
      <c r="AF127" s="205"/>
      <c r="AG127" s="147"/>
      <c r="AH127" s="163"/>
      <c r="AI127" s="148"/>
      <c r="AJ127" s="57" t="s">
        <v>572</v>
      </c>
      <c r="AK127" s="147">
        <f t="shared" si="2"/>
        <v>153.3196273674246</v>
      </c>
      <c r="AL127" s="147">
        <f t="shared" si="1"/>
        <v>17.602465487822123</v>
      </c>
      <c r="AM127" s="148"/>
      <c r="AN127" s="148"/>
      <c r="AO127" s="148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 s="67" t="s">
        <v>102</v>
      </c>
      <c r="B128" s="66">
        <f>_xlfn.IFNA(INDEX(Table_INPUT_2D[X],MATCH(Table8[[#This Row],[UID]],Table_INPUT_2D[Unique ID],0)),"")</f>
        <v>10509.06</v>
      </c>
      <c r="C128" s="66">
        <f>_xlfn.IFNA(INDEX(Table_INPUT_2D[Y],MATCH(Table8[[#This Row],[UID]],Table_INPUT_2D[Unique ID],0)),"")</f>
        <v>4868.7039999999997</v>
      </c>
      <c r="D128" s="66">
        <f>_xlfn.IFNA(INDEX(Table_INPUT_2D[Z],MATCH(Table8[[#This Row],[UID]],Table_INPUT_2D[Unique ID],0)),"")</f>
        <v>208.16200000000001</v>
      </c>
      <c r="E128" s="65" t="s">
        <v>241</v>
      </c>
      <c r="G128" s="2" t="str">
        <f>IF($A$128 &lt;&gt; "",$A$128, "")</f>
        <v>MR9039</v>
      </c>
      <c r="H128" s="2">
        <f>IF($B$128 &lt;&gt; "",$B$128, "")</f>
        <v>10509.06</v>
      </c>
      <c r="I128" s="2">
        <f>IF($C$128 &lt;&gt; "",$C$128, "")</f>
        <v>4868.7039999999997</v>
      </c>
      <c r="J128" s="2">
        <f>IF($D$128 &lt;&gt; "",$D$128, "")</f>
        <v>208.16200000000001</v>
      </c>
      <c r="K128"/>
      <c r="L128"/>
      <c r="M128"/>
      <c r="N128">
        <f>$M$129-$M$127</f>
        <v>0.37850000000003092</v>
      </c>
      <c r="O128" s="56"/>
      <c r="P128">
        <f>SQRT(($K$129-$K$127)^2 +($L$129-$L$127)^2)</f>
        <v>17.910021810427693</v>
      </c>
      <c r="Q128"/>
      <c r="R128"/>
      <c r="S128"/>
      <c r="T128"/>
      <c r="U128"/>
      <c r="V128" s="156">
        <v>12</v>
      </c>
      <c r="W128" s="157" t="s">
        <v>508</v>
      </c>
      <c r="X128" s="160">
        <v>1</v>
      </c>
      <c r="Y128" s="77">
        <f>O293</f>
        <v>176.68368801652895</v>
      </c>
      <c r="Z128" s="203">
        <f>$X$23*($X$128/$X$135)+$Z$126</f>
        <v>-1.7382812498106803E-4</v>
      </c>
      <c r="AA128" s="162">
        <f t="shared" si="3"/>
        <v>176.68386184465393</v>
      </c>
      <c r="AB128" s="163">
        <f>P294</f>
        <v>18.703263438501864</v>
      </c>
      <c r="AC128" s="164" t="s">
        <v>508</v>
      </c>
      <c r="AD128" s="165">
        <v>1</v>
      </c>
      <c r="AE128" s="163">
        <f t="shared" si="4"/>
        <v>176.68386184465393</v>
      </c>
      <c r="AF128" s="203">
        <f>$AD$23*($AD$128/$AD$135)+$AF$126</f>
        <v>1.4373143723889203E-2</v>
      </c>
      <c r="AG128" s="162">
        <f t="shared" si="5"/>
        <v>176.66948870093003</v>
      </c>
      <c r="AH128" s="163">
        <f t="shared" si="6"/>
        <v>18.703263438501864</v>
      </c>
      <c r="AI128" s="148"/>
      <c r="AJ128" s="57" t="s">
        <v>575</v>
      </c>
      <c r="AK128" s="147">
        <f t="shared" si="2"/>
        <v>152.79152100550999</v>
      </c>
      <c r="AL128" s="147">
        <f t="shared" si="1"/>
        <v>21.73028578390031</v>
      </c>
      <c r="AM128" s="148"/>
      <c r="AN128" s="148"/>
      <c r="AO128" s="14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 s="67" t="s">
        <v>103</v>
      </c>
      <c r="B129" s="66">
        <f>_xlfn.IFNA(INDEX(Table_INPUT_2D[X],MATCH(Table8[[#This Row],[UID]],Table_INPUT_2D[Unique ID],0)),"")</f>
        <v>10526.148999999999</v>
      </c>
      <c r="C129" s="66">
        <f>_xlfn.IFNA(INDEX(Table_INPUT_2D[Y],MATCH(Table8[[#This Row],[UID]],Table_INPUT_2D[Unique ID],0)),"")</f>
        <v>4863.3440000000001</v>
      </c>
      <c r="D129" s="66">
        <f>_xlfn.IFNA(INDEX(Table_INPUT_2D[Z],MATCH(Table8[[#This Row],[UID]],Table_INPUT_2D[Unique ID],0)),"")</f>
        <v>208.542</v>
      </c>
      <c r="E129" s="65" t="s">
        <v>242</v>
      </c>
      <c r="G129" s="2" t="str">
        <f>IF($A$129 &lt;&gt; "",$A$129, "")</f>
        <v>MR9040</v>
      </c>
      <c r="H129" s="2">
        <f>IF($B$129 &lt;&gt; "",$B$129, "")</f>
        <v>10526.148999999999</v>
      </c>
      <c r="I129" s="2">
        <f>IF($C$129 &lt;&gt; "",$C$129, "")</f>
        <v>4863.3440000000001</v>
      </c>
      <c r="J129" s="2">
        <f>IF($D$129 &lt;&gt; "",$D$129, "")</f>
        <v>208.542</v>
      </c>
      <c r="K129">
        <f>AVERAGE($H$129,$H$130)</f>
        <v>10526.148999999999</v>
      </c>
      <c r="L129">
        <f>AVERAGE($I$129,$I$130)</f>
        <v>4863.3429999999998</v>
      </c>
      <c r="M129">
        <f>AVERAGE($J$129,$J$130)</f>
        <v>208.54000000000002</v>
      </c>
      <c r="N129"/>
      <c r="O129" s="56">
        <f>$O$127+($N$128)</f>
        <v>127.35018801652903</v>
      </c>
      <c r="P129"/>
      <c r="Q129"/>
      <c r="R129"/>
      <c r="S129"/>
      <c r="T129"/>
      <c r="U129"/>
      <c r="V129" s="156"/>
      <c r="W129" s="157" t="s">
        <v>514</v>
      </c>
      <c r="X129" s="160">
        <v>2</v>
      </c>
      <c r="Y129" s="77">
        <f>O295</f>
        <v>173.92318801652897</v>
      </c>
      <c r="Z129" s="203">
        <f>$X$23*($X$129/$X$135)+$Z$126</f>
        <v>-1.7578124998085531E-4</v>
      </c>
      <c r="AA129" s="162">
        <f t="shared" si="3"/>
        <v>173.92336379777896</v>
      </c>
      <c r="AB129" s="163">
        <f>P296</f>
        <v>20.553990129657464</v>
      </c>
      <c r="AC129" s="164" t="s">
        <v>514</v>
      </c>
      <c r="AD129" s="165">
        <v>2</v>
      </c>
      <c r="AE129" s="163">
        <f t="shared" si="4"/>
        <v>173.92336379777896</v>
      </c>
      <c r="AF129" s="203">
        <f>$AD$23*($AD$129/$AD$135)+$AF$126</f>
        <v>1.4534639720786835E-2</v>
      </c>
      <c r="AG129" s="162">
        <f t="shared" si="5"/>
        <v>173.90882915805818</v>
      </c>
      <c r="AH129" s="163">
        <f t="shared" si="6"/>
        <v>20.553990129657464</v>
      </c>
      <c r="AI129" s="148"/>
      <c r="AJ129" s="57" t="s">
        <v>578</v>
      </c>
      <c r="AK129" s="147">
        <f t="shared" si="2"/>
        <v>152.20941464359538</v>
      </c>
      <c r="AL129" s="147">
        <f t="shared" si="1"/>
        <v>18.46430543643665</v>
      </c>
      <c r="AM129" s="148"/>
      <c r="AN129" s="148"/>
      <c r="AO129" s="148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 s="67" t="s">
        <v>103</v>
      </c>
      <c r="B130" s="66">
        <f>_xlfn.IFNA(INDEX(Table_INPUT_2D[X],MATCH(Table8[[#This Row],[UID]],Table_INPUT_2D[Unique ID],0)),"")</f>
        <v>10526.148999999999</v>
      </c>
      <c r="C130" s="66">
        <f>_xlfn.IFNA(INDEX(Table_INPUT_2D[Y],MATCH(Table8[[#This Row],[UID]],Table_INPUT_2D[Unique ID],0)),"")</f>
        <v>4863.3419999999996</v>
      </c>
      <c r="D130" s="66">
        <f>_xlfn.IFNA(INDEX(Table_INPUT_2D[Z],MATCH(Table8[[#This Row],[UID]],Table_INPUT_2D[Unique ID],0)),"")</f>
        <v>208.53800000000001</v>
      </c>
      <c r="E130" s="65" t="s">
        <v>243</v>
      </c>
      <c r="G130" s="2" t="str">
        <f>IF($A$130 &lt;&gt; "",$A$130, "")</f>
        <v>MR9040</v>
      </c>
      <c r="H130" s="2">
        <f>IF($B$130 &lt;&gt; "",$B$130, "")</f>
        <v>10526.148999999999</v>
      </c>
      <c r="I130" s="2">
        <f>IF($C$130 &lt;&gt; "",$C$130, "")</f>
        <v>4863.3419999999996</v>
      </c>
      <c r="J130" s="2">
        <f>IF($D$130 &lt;&gt; "",$D$130, "")</f>
        <v>208.53800000000001</v>
      </c>
      <c r="K130"/>
      <c r="L130"/>
      <c r="M130"/>
      <c r="N130">
        <f>$M$131-$M$129</f>
        <v>0.27149999999997476</v>
      </c>
      <c r="O130" s="56"/>
      <c r="P130">
        <f>SQRT(($K$131-$K$129)^2 +($L$131-$L$129)^2)</f>
        <v>20.862158960664473</v>
      </c>
      <c r="Q130"/>
      <c r="R130"/>
      <c r="S130"/>
      <c r="T130"/>
      <c r="U130"/>
      <c r="V130" s="156"/>
      <c r="W130" s="157" t="s">
        <v>529</v>
      </c>
      <c r="X130" s="160">
        <v>3</v>
      </c>
      <c r="Y130" s="77">
        <f>O297</f>
        <v>171.07168801652898</v>
      </c>
      <c r="Z130" s="203">
        <f>$X$23*($X$130/$X$135)+$Z$126</f>
        <v>-1.777343749806426E-4</v>
      </c>
      <c r="AA130" s="162">
        <f t="shared" si="3"/>
        <v>171.07186575090395</v>
      </c>
      <c r="AB130" s="163">
        <f>P298</f>
        <v>21.36587060009429</v>
      </c>
      <c r="AC130" s="164" t="s">
        <v>529</v>
      </c>
      <c r="AD130" s="165">
        <v>3</v>
      </c>
      <c r="AE130" s="163">
        <f t="shared" si="4"/>
        <v>171.07186575090395</v>
      </c>
      <c r="AF130" s="203">
        <f>$AD$23*($AD$130/$AD$135)+$AF$126</f>
        <v>1.4696135717684466E-2</v>
      </c>
      <c r="AG130" s="162">
        <f t="shared" si="5"/>
        <v>171.05716961518627</v>
      </c>
      <c r="AH130" s="163">
        <f t="shared" si="6"/>
        <v>21.36587060009429</v>
      </c>
      <c r="AI130" s="148"/>
      <c r="AJ130" s="57" t="s">
        <v>581</v>
      </c>
      <c r="AK130" s="147">
        <f t="shared" si="2"/>
        <v>151.3868082816808</v>
      </c>
      <c r="AL130" s="147">
        <f t="shared" si="1"/>
        <v>21.880907413770043</v>
      </c>
      <c r="AM130" s="148"/>
      <c r="AN130" s="148"/>
      <c r="AO130" s="148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 s="67" t="s">
        <v>104</v>
      </c>
      <c r="B131" s="66">
        <f>_xlfn.IFNA(INDEX(Table_INPUT_2D[X],MATCH(Table8[[#This Row],[UID]],Table_INPUT_2D[Unique ID],0)),"")</f>
        <v>10546.046</v>
      </c>
      <c r="C131" s="66">
        <f>_xlfn.IFNA(INDEX(Table_INPUT_2D[Y],MATCH(Table8[[#This Row],[UID]],Table_INPUT_2D[Unique ID],0)),"")</f>
        <v>4857.0720000000001</v>
      </c>
      <c r="D131" s="66">
        <f>_xlfn.IFNA(INDEX(Table_INPUT_2D[Z],MATCH(Table8[[#This Row],[UID]],Table_INPUT_2D[Unique ID],0)),"")</f>
        <v>208.81</v>
      </c>
      <c r="E131" s="65" t="s">
        <v>244</v>
      </c>
      <c r="G131" s="2" t="str">
        <f>IF($A$131 &lt;&gt; "",$A$131, "")</f>
        <v>MR9041</v>
      </c>
      <c r="H131" s="2">
        <f>IF($B$131 &lt;&gt; "",$B$131, "")</f>
        <v>10546.046</v>
      </c>
      <c r="I131" s="2">
        <f>IF($C$131 &lt;&gt; "",$C$131, "")</f>
        <v>4857.0720000000001</v>
      </c>
      <c r="J131" s="2">
        <f>IF($D$131 &lt;&gt; "",$D$131, "")</f>
        <v>208.81</v>
      </c>
      <c r="K131">
        <f>AVERAGE($H$131,$H$132)</f>
        <v>10546.0465</v>
      </c>
      <c r="L131">
        <f>AVERAGE($I$131,$I$132)</f>
        <v>4857.0725000000002</v>
      </c>
      <c r="M131">
        <f>AVERAGE($J$131,$J$132)</f>
        <v>208.8115</v>
      </c>
      <c r="N131"/>
      <c r="O131" s="56">
        <f>$O$129+($N$130)</f>
        <v>127.62168801652901</v>
      </c>
      <c r="P131"/>
      <c r="Q131"/>
      <c r="R131"/>
      <c r="S131"/>
      <c r="T131"/>
      <c r="U131"/>
      <c r="V131" s="156"/>
      <c r="W131" s="157" t="s">
        <v>532</v>
      </c>
      <c r="X131" s="160">
        <v>4</v>
      </c>
      <c r="Y131" s="77">
        <f>O299</f>
        <v>168.22068801652898</v>
      </c>
      <c r="Z131" s="203">
        <f>$X$23*($X$131/$X$135)+$Z$126</f>
        <v>-1.7968749998042988E-4</v>
      </c>
      <c r="AA131" s="162">
        <f t="shared" si="3"/>
        <v>168.22086770402896</v>
      </c>
      <c r="AB131" s="163">
        <f>P300</f>
        <v>18.441548070863572</v>
      </c>
      <c r="AC131" s="164" t="s">
        <v>532</v>
      </c>
      <c r="AD131" s="165">
        <v>4</v>
      </c>
      <c r="AE131" s="163">
        <f t="shared" si="4"/>
        <v>168.22086770402896</v>
      </c>
      <c r="AF131" s="203">
        <f>$AD$23*($AD$131/$AD$135)+$AF$126</f>
        <v>1.4857631714582098E-2</v>
      </c>
      <c r="AG131" s="162">
        <f t="shared" si="5"/>
        <v>168.20601007231437</v>
      </c>
      <c r="AH131" s="163">
        <f t="shared" si="6"/>
        <v>18.441548070863572</v>
      </c>
      <c r="AI131" s="148"/>
      <c r="AJ131" s="57" t="s">
        <v>584</v>
      </c>
      <c r="AK131" s="147">
        <f t="shared" si="2"/>
        <v>150.66620191976619</v>
      </c>
      <c r="AL131" s="147">
        <f t="shared" si="1"/>
        <v>15.721589017972374</v>
      </c>
      <c r="AM131" s="148"/>
      <c r="AN131" s="148"/>
      <c r="AO131" s="148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 s="67" t="s">
        <v>104</v>
      </c>
      <c r="B132" s="66">
        <f>_xlfn.IFNA(INDEX(Table_INPUT_2D[X],MATCH(Table8[[#This Row],[UID]],Table_INPUT_2D[Unique ID],0)),"")</f>
        <v>10546.047</v>
      </c>
      <c r="C132" s="66">
        <f>_xlfn.IFNA(INDEX(Table_INPUT_2D[Y],MATCH(Table8[[#This Row],[UID]],Table_INPUT_2D[Unique ID],0)),"")</f>
        <v>4857.0730000000003</v>
      </c>
      <c r="D132" s="66">
        <f>_xlfn.IFNA(INDEX(Table_INPUT_2D[Z],MATCH(Table8[[#This Row],[UID]],Table_INPUT_2D[Unique ID],0)),"")</f>
        <v>208.81299999999999</v>
      </c>
      <c r="E132" s="65" t="s">
        <v>245</v>
      </c>
      <c r="G132" s="2" t="str">
        <f>IF($A$132 &lt;&gt; "",$A$132, "")</f>
        <v>MR9041</v>
      </c>
      <c r="H132" s="2">
        <f>IF($B$132 &lt;&gt; "",$B$132, "")</f>
        <v>10546.047</v>
      </c>
      <c r="I132" s="2">
        <f>IF($C$132 &lt;&gt; "",$C$132, "")</f>
        <v>4857.0730000000003</v>
      </c>
      <c r="J132" s="2">
        <f>IF($D$132 &lt;&gt; "",$D$132, "")</f>
        <v>208.81299999999999</v>
      </c>
      <c r="K132"/>
      <c r="L132"/>
      <c r="M132"/>
      <c r="N132">
        <f>$M$133-$M$131</f>
        <v>0.54300000000000637</v>
      </c>
      <c r="O132" s="56"/>
      <c r="P132">
        <f>SQRT(($K$133-$K$131)^2 +($L$133-$L$131)^2)</f>
        <v>20.602764043933501</v>
      </c>
      <c r="Q132"/>
      <c r="R132"/>
      <c r="S132"/>
      <c r="T132"/>
      <c r="U132"/>
      <c r="V132" s="156"/>
      <c r="W132" s="157" t="s">
        <v>535</v>
      </c>
      <c r="X132" s="160">
        <v>5</v>
      </c>
      <c r="Y132" s="77">
        <f>O301</f>
        <v>166.07068801652898</v>
      </c>
      <c r="Z132" s="203">
        <f>$X$23*($X$132/$X$135)+$Z$126</f>
        <v>-1.8164062498021716E-4</v>
      </c>
      <c r="AA132" s="162">
        <f t="shared" si="3"/>
        <v>166.07086965715396</v>
      </c>
      <c r="AB132" s="163">
        <f>P302</f>
        <v>21.518968214113421</v>
      </c>
      <c r="AC132" s="164" t="s">
        <v>535</v>
      </c>
      <c r="AD132" s="165">
        <v>5</v>
      </c>
      <c r="AE132" s="163">
        <f t="shared" si="4"/>
        <v>166.07086965715396</v>
      </c>
      <c r="AF132" s="203">
        <f>$AD$23*($AD$132/$AD$135)+$AF$126</f>
        <v>1.5019127711479729E-2</v>
      </c>
      <c r="AG132" s="162">
        <f t="shared" si="5"/>
        <v>166.05585052944249</v>
      </c>
      <c r="AH132" s="163">
        <f t="shared" si="6"/>
        <v>21.518968214113421</v>
      </c>
      <c r="AI132" s="148"/>
      <c r="AJ132" s="57" t="s">
        <v>587</v>
      </c>
      <c r="AK132" s="147">
        <f t="shared" si="2"/>
        <v>150.15109555785162</v>
      </c>
      <c r="AL132" s="147">
        <f t="shared" si="1"/>
        <v>23.138240641844856</v>
      </c>
      <c r="AM132" s="148"/>
      <c r="AN132" s="148"/>
      <c r="AO132" s="148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 s="67" t="s">
        <v>105</v>
      </c>
      <c r="B133" s="66">
        <f>_xlfn.IFNA(INDEX(Table_INPUT_2D[X],MATCH(Table8[[#This Row],[UID]],Table_INPUT_2D[Unique ID],0)),"")</f>
        <v>10565.699000000001</v>
      </c>
      <c r="C133" s="66">
        <f>_xlfn.IFNA(INDEX(Table_INPUT_2D[Y],MATCH(Table8[[#This Row],[UID]],Table_INPUT_2D[Unique ID],0)),"")</f>
        <v>4850.8890000000001</v>
      </c>
      <c r="D133" s="66">
        <f>_xlfn.IFNA(INDEX(Table_INPUT_2D[Z],MATCH(Table8[[#This Row],[UID]],Table_INPUT_2D[Unique ID],0)),"")</f>
        <v>209.357</v>
      </c>
      <c r="E133" s="65" t="s">
        <v>246</v>
      </c>
      <c r="G133" s="2" t="str">
        <f>IF($A$133 &lt;&gt; "",$A$133, "")</f>
        <v>MR9042</v>
      </c>
      <c r="H133" s="2">
        <f>IF($B$133 &lt;&gt; "",$B$133, "")</f>
        <v>10565.699000000001</v>
      </c>
      <c r="I133" s="2">
        <f>IF($C$133 &lt;&gt; "",$C$133, "")</f>
        <v>4850.8890000000001</v>
      </c>
      <c r="J133" s="2">
        <f>IF($D$133 &lt;&gt; "",$D$133, "")</f>
        <v>209.357</v>
      </c>
      <c r="K133">
        <f>AVERAGE($H$133,$H$134)</f>
        <v>10565.6985</v>
      </c>
      <c r="L133">
        <f>AVERAGE($I$133,$I$134)</f>
        <v>4850.8860000000004</v>
      </c>
      <c r="M133">
        <f>AVERAGE($J$133,$J$134)</f>
        <v>209.3545</v>
      </c>
      <c r="N133"/>
      <c r="O133" s="56">
        <f>$O$131+($N$132)</f>
        <v>128.164688016529</v>
      </c>
      <c r="P133"/>
      <c r="Q133"/>
      <c r="R133"/>
      <c r="S133"/>
      <c r="T133"/>
      <c r="U133"/>
      <c r="V133" s="156"/>
      <c r="W133" s="157" t="s">
        <v>538</v>
      </c>
      <c r="X133" s="160">
        <v>6</v>
      </c>
      <c r="Y133" s="77">
        <f>O303</f>
        <v>164.15818801652898</v>
      </c>
      <c r="Z133" s="203">
        <f>$X$23*($X$133/$X$135)+$Z$126</f>
        <v>-1.8359374998000444E-4</v>
      </c>
      <c r="AA133" s="162">
        <f t="shared" si="3"/>
        <v>164.15837161027895</v>
      </c>
      <c r="AB133" s="163">
        <f>P304</f>
        <v>19.465151714024852</v>
      </c>
      <c r="AC133" s="164" t="s">
        <v>538</v>
      </c>
      <c r="AD133" s="165">
        <v>6</v>
      </c>
      <c r="AE133" s="163">
        <f t="shared" si="4"/>
        <v>164.15837161027895</v>
      </c>
      <c r="AF133" s="203">
        <f>$AD$23*($AD$133/$AD$135)+$AF$126</f>
        <v>1.5180623708377361E-2</v>
      </c>
      <c r="AG133" s="162">
        <f t="shared" si="5"/>
        <v>164.14319098657057</v>
      </c>
      <c r="AH133" s="163">
        <f t="shared" si="6"/>
        <v>19.465151714024852</v>
      </c>
      <c r="AI133" s="148"/>
      <c r="AJ133" s="57" t="s">
        <v>597</v>
      </c>
      <c r="AK133" s="147">
        <f t="shared" si="2"/>
        <v>149.36995374196547</v>
      </c>
      <c r="AL133" s="147">
        <f t="shared" si="1"/>
        <v>23.150326066819382</v>
      </c>
      <c r="AM133" s="148"/>
      <c r="AN133" s="148"/>
      <c r="AO133" s="148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 s="67" t="s">
        <v>105</v>
      </c>
      <c r="B134" s="66">
        <f>_xlfn.IFNA(INDEX(Table_INPUT_2D[X],MATCH(Table8[[#This Row],[UID]],Table_INPUT_2D[Unique ID],0)),"")</f>
        <v>10565.698</v>
      </c>
      <c r="C134" s="66">
        <f>_xlfn.IFNA(INDEX(Table_INPUT_2D[Y],MATCH(Table8[[#This Row],[UID]],Table_INPUT_2D[Unique ID],0)),"")</f>
        <v>4850.8829999999998</v>
      </c>
      <c r="D134" s="66">
        <f>_xlfn.IFNA(INDEX(Table_INPUT_2D[Z],MATCH(Table8[[#This Row],[UID]],Table_INPUT_2D[Unique ID],0)),"")</f>
        <v>209.352</v>
      </c>
      <c r="E134" s="65" t="s">
        <v>247</v>
      </c>
      <c r="G134" s="2" t="str">
        <f>IF($A$134 &lt;&gt; "",$A$134, "")</f>
        <v>MR9042</v>
      </c>
      <c r="H134" s="2">
        <f>IF($B$134 &lt;&gt; "",$B$134, "")</f>
        <v>10565.698</v>
      </c>
      <c r="I134" s="2">
        <f>IF($C$134 &lt;&gt; "",$C$134, "")</f>
        <v>4850.8829999999998</v>
      </c>
      <c r="J134" s="2">
        <f>IF($D$134 &lt;&gt; "",$D$134, "")</f>
        <v>209.352</v>
      </c>
      <c r="K134"/>
      <c r="L134"/>
      <c r="M134"/>
      <c r="N134"/>
      <c r="O134" s="56"/>
      <c r="P134"/>
      <c r="Q134"/>
      <c r="R134"/>
      <c r="S134"/>
      <c r="T134"/>
      <c r="U134"/>
      <c r="V134" s="156"/>
      <c r="W134" s="157" t="s">
        <v>541</v>
      </c>
      <c r="X134" s="160">
        <v>7</v>
      </c>
      <c r="Y134" s="77">
        <f>O305</f>
        <v>162.36768801652897</v>
      </c>
      <c r="Z134" s="203">
        <f>$X$23*($X$134/$X$135)+$Z$126</f>
        <v>-1.8554687497979172E-4</v>
      </c>
      <c r="AA134" s="162">
        <f t="shared" si="3"/>
        <v>162.36787356340395</v>
      </c>
      <c r="AB134" s="163">
        <f>P306</f>
        <v>18.937555313449863</v>
      </c>
      <c r="AC134" s="164" t="s">
        <v>541</v>
      </c>
      <c r="AD134" s="165">
        <v>7</v>
      </c>
      <c r="AE134" s="163">
        <f t="shared" si="4"/>
        <v>162.36787356340395</v>
      </c>
      <c r="AF134" s="203">
        <f>$AD$23*($AD$134/$AD$135)+$AF$126</f>
        <v>1.5342119705274992E-2</v>
      </c>
      <c r="AG134" s="162">
        <f t="shared" si="5"/>
        <v>162.35253144369867</v>
      </c>
      <c r="AH134" s="163">
        <f t="shared" si="6"/>
        <v>18.937555313449863</v>
      </c>
      <c r="AI134" s="148"/>
      <c r="AJ134" s="57" t="s">
        <v>600</v>
      </c>
      <c r="AK134" s="147">
        <f t="shared" si="2"/>
        <v>148.19031192607932</v>
      </c>
      <c r="AL134" s="147">
        <f t="shared" si="1"/>
        <v>18.715307137473975</v>
      </c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 s="63" t="s">
        <v>21</v>
      </c>
      <c r="B135" s="66" t="str">
        <f>_xlfn.IFNA(INDEX(Table_INPUT_2D[X],MATCH(Table8[[#This Row],[UID]],Table_INPUT_2D[Unique ID],0)),"")</f>
        <v/>
      </c>
      <c r="C135" s="66" t="str">
        <f>_xlfn.IFNA(INDEX(Table_INPUT_2D[Y],MATCH(Table8[[#This Row],[UID]],Table_INPUT_2D[Unique ID],0)),"")</f>
        <v/>
      </c>
      <c r="D135" s="66" t="str">
        <f>_xlfn.IFNA(INDEX(Table_INPUT_2D[Z],MATCH(Table8[[#This Row],[UID]],Table_INPUT_2D[Unique ID],0)),"")</f>
        <v/>
      </c>
      <c r="E135" s="65"/>
      <c r="G135" s="2" t="str">
        <f>IF($A$135 &lt;&gt; "",$A$135, "")</f>
        <v>CLOSE</v>
      </c>
      <c r="H135" s="2" t="str">
        <f>IF($B$135 &lt;&gt; "",$B$135, "")</f>
        <v/>
      </c>
      <c r="I135" s="2" t="str">
        <f>IF($C$135 &lt;&gt; "",$C$135, "")</f>
        <v/>
      </c>
      <c r="J135" s="2" t="str">
        <f>IF($D$135 &lt;&gt; "",$D$135, "")</f>
        <v/>
      </c>
      <c r="K135"/>
      <c r="L135"/>
      <c r="M135"/>
      <c r="N135"/>
      <c r="O135" s="56"/>
      <c r="P135"/>
      <c r="Q135"/>
      <c r="R135"/>
      <c r="S135"/>
      <c r="T135"/>
      <c r="U135"/>
      <c r="V135" s="156"/>
      <c r="W135" s="157" t="s">
        <v>544</v>
      </c>
      <c r="X135" s="160">
        <v>8</v>
      </c>
      <c r="Y135" s="77">
        <f>O307</f>
        <v>160.82718801652896</v>
      </c>
      <c r="Z135" s="203">
        <f>$X$23*($X$135/$X$135)+$Z$126</f>
        <v>-1.87499999979579E-4</v>
      </c>
      <c r="AA135" s="162">
        <f t="shared" si="3"/>
        <v>160.82737551652895</v>
      </c>
      <c r="AB135" s="163">
        <f>P316</f>
        <v>18.763434347155425</v>
      </c>
      <c r="AC135" s="164" t="s">
        <v>544</v>
      </c>
      <c r="AD135" s="165">
        <v>8</v>
      </c>
      <c r="AE135" s="163">
        <f t="shared" si="4"/>
        <v>160.82737551652895</v>
      </c>
      <c r="AF135" s="203">
        <f>$AD$23*($AD$135/$AD$135)+$AF$126</f>
        <v>1.5503615702172624E-2</v>
      </c>
      <c r="AG135" s="162">
        <f t="shared" si="5"/>
        <v>160.81187190082676</v>
      </c>
      <c r="AH135" s="163">
        <f t="shared" si="6"/>
        <v>18.763434347155425</v>
      </c>
      <c r="AI135" s="148"/>
      <c r="AJ135" s="57" t="s">
        <v>603</v>
      </c>
      <c r="AK135" s="147">
        <f t="shared" si="2"/>
        <v>147.35967011019324</v>
      </c>
      <c r="AL135" s="147">
        <f t="shared" si="1"/>
        <v>18.574534933612902</v>
      </c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 s="67" t="s">
        <v>95</v>
      </c>
      <c r="B136" s="66">
        <f>_xlfn.IFNA(INDEX(Table_INPUT_2D[X],MATCH(Table8[[#This Row],[UID]],Table_INPUT_2D[Unique ID],0)),"")</f>
        <v>10376.462</v>
      </c>
      <c r="C136" s="66">
        <f>_xlfn.IFNA(INDEX(Table_INPUT_2D[Y],MATCH(Table8[[#This Row],[UID]],Table_INPUT_2D[Unique ID],0)),"")</f>
        <v>4914.2920000000004</v>
      </c>
      <c r="D136" s="66">
        <f>_xlfn.IFNA(INDEX(Table_INPUT_2D[Z],MATCH(Table8[[#This Row],[UID]],Table_INPUT_2D[Unique ID],0)),"")</f>
        <v>204.762</v>
      </c>
      <c r="E136" s="65" t="s">
        <v>226</v>
      </c>
      <c r="G136" s="2" t="str">
        <f>IF($A$136 &lt;&gt; "",$A$136, "")</f>
        <v>MR9032</v>
      </c>
      <c r="H136" s="2">
        <f>IF($B$136 &lt;&gt; "",$B$136, "")</f>
        <v>10376.462</v>
      </c>
      <c r="I136" s="2">
        <f>IF($C$136 &lt;&gt; "",$C$136, "")</f>
        <v>4914.2920000000004</v>
      </c>
      <c r="J136" s="2">
        <f>IF($D$136 &lt;&gt; "",$D$136, "")</f>
        <v>204.762</v>
      </c>
      <c r="K136">
        <f>AVERAGE($H$136,$H$137)</f>
        <v>10376.462</v>
      </c>
      <c r="L136">
        <f>AVERAGE($I$136,$I$137)</f>
        <v>4914.2920000000004</v>
      </c>
      <c r="M136">
        <f>AVERAGE($J$136,$J$137)</f>
        <v>204.761</v>
      </c>
      <c r="N136"/>
      <c r="O136" s="56">
        <f>$O$138+(-$N$137)</f>
        <v>123.57468801652905</v>
      </c>
      <c r="P136"/>
      <c r="Q136"/>
      <c r="R136"/>
      <c r="S136"/>
      <c r="T136"/>
      <c r="U136"/>
      <c r="V136" s="156"/>
      <c r="W136" s="157"/>
      <c r="X136" s="160"/>
      <c r="Y136" s="168"/>
      <c r="Z136" s="204"/>
      <c r="AA136" s="157"/>
      <c r="AB136" s="167"/>
      <c r="AC136" s="168"/>
      <c r="AD136" s="168"/>
      <c r="AE136" s="163"/>
      <c r="AF136" s="202"/>
      <c r="AG136" s="147"/>
      <c r="AH136" s="163"/>
      <c r="AI136" s="148"/>
      <c r="AJ136" s="57" t="s">
        <v>606</v>
      </c>
      <c r="AK136" s="147">
        <f t="shared" si="2"/>
        <v>146.79902829430708</v>
      </c>
      <c r="AL136" s="147">
        <f t="shared" si="1"/>
        <v>21.475718241772384</v>
      </c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 s="67" t="s">
        <v>95</v>
      </c>
      <c r="B137" s="66">
        <f>_xlfn.IFNA(INDEX(Table_INPUT_2D[X],MATCH(Table8[[#This Row],[UID]],Table_INPUT_2D[Unique ID],0)),"")</f>
        <v>10376.462</v>
      </c>
      <c r="C137" s="66">
        <f>_xlfn.IFNA(INDEX(Table_INPUT_2D[Y],MATCH(Table8[[#This Row],[UID]],Table_INPUT_2D[Unique ID],0)),"")</f>
        <v>4914.2920000000004</v>
      </c>
      <c r="D137" s="66">
        <f>_xlfn.IFNA(INDEX(Table_INPUT_2D[Z],MATCH(Table8[[#This Row],[UID]],Table_INPUT_2D[Unique ID],0)),"")</f>
        <v>204.76</v>
      </c>
      <c r="E137" s="65" t="s">
        <v>227</v>
      </c>
      <c r="G137" s="2" t="str">
        <f>IF($A$137 &lt;&gt; "",$A$137, "")</f>
        <v>MR9032</v>
      </c>
      <c r="H137" s="2">
        <f>IF($B$137 &lt;&gt; "",$B$137, "")</f>
        <v>10376.462</v>
      </c>
      <c r="I137" s="2">
        <f>IF($C$137 &lt;&gt; "",$C$137, "")</f>
        <v>4914.2920000000004</v>
      </c>
      <c r="J137" s="2">
        <f>IF($D$137 &lt;&gt; "",$D$137, "")</f>
        <v>204.76</v>
      </c>
      <c r="K137"/>
      <c r="L137"/>
      <c r="M137"/>
      <c r="N137">
        <f>$M$138-$M$136</f>
        <v>4.5925000000000011</v>
      </c>
      <c r="O137" s="56"/>
      <c r="P137">
        <f>SQRT(($K$138-$K$136)^2 +($L$138-$L$136)^2)</f>
        <v>199.57617076758015</v>
      </c>
      <c r="Q137"/>
      <c r="R137"/>
      <c r="S137"/>
      <c r="T137"/>
      <c r="U137"/>
      <c r="V137" s="156">
        <v>13</v>
      </c>
      <c r="W137" s="157" t="s">
        <v>554</v>
      </c>
      <c r="X137" s="160">
        <v>1</v>
      </c>
      <c r="Y137" s="77">
        <f>O317</f>
        <v>159.64618801652898</v>
      </c>
      <c r="Z137" s="203">
        <f>$X$23*($X$137/$X$148)+$Z$135</f>
        <v>-1.8880208331277051E-4</v>
      </c>
      <c r="AA137" s="162">
        <f t="shared" si="3"/>
        <v>159.64637681861228</v>
      </c>
      <c r="AB137" s="163">
        <f>P318</f>
        <v>18.841807748992224</v>
      </c>
      <c r="AC137" s="164" t="s">
        <v>554</v>
      </c>
      <c r="AD137" s="165">
        <v>1</v>
      </c>
      <c r="AE137" s="163">
        <f t="shared" si="4"/>
        <v>159.64637681861228</v>
      </c>
      <c r="AF137" s="203">
        <f>$AD$23*($AD$137/$AD$148)+$AF$135</f>
        <v>1.5611279700104378E-2</v>
      </c>
      <c r="AG137" s="162">
        <f t="shared" si="5"/>
        <v>159.63076553891219</v>
      </c>
      <c r="AH137" s="163">
        <f t="shared" si="6"/>
        <v>18.841807748992224</v>
      </c>
      <c r="AI137" s="148"/>
      <c r="AJ137" s="57" t="s">
        <v>609</v>
      </c>
      <c r="AK137" s="147">
        <f t="shared" si="2"/>
        <v>145.88638647842095</v>
      </c>
      <c r="AL137" s="147">
        <f t="shared" si="1"/>
        <v>18.533153779106179</v>
      </c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 s="67" t="s">
        <v>105</v>
      </c>
      <c r="B138" s="66">
        <f>_xlfn.IFNA(INDEX(Table_INPUT_2D[X],MATCH(Table8[[#This Row],[UID]],Table_INPUT_2D[Unique ID],0)),"")</f>
        <v>10565.698</v>
      </c>
      <c r="C138" s="66">
        <f>_xlfn.IFNA(INDEX(Table_INPUT_2D[Y],MATCH(Table8[[#This Row],[UID]],Table_INPUT_2D[Unique ID],0)),"")</f>
        <v>4850.884</v>
      </c>
      <c r="D138" s="66">
        <f>_xlfn.IFNA(INDEX(Table_INPUT_2D[Z],MATCH(Table8[[#This Row],[UID]],Table_INPUT_2D[Unique ID],0)),"")</f>
        <v>209.351</v>
      </c>
      <c r="E138" s="65" t="s">
        <v>248</v>
      </c>
      <c r="G138" s="2" t="str">
        <f>IF($A$138 &lt;&gt; "",$A$138, "")</f>
        <v>MR9042</v>
      </c>
      <c r="H138" s="2">
        <f>IF($B$138 &lt;&gt; "",$B$138, "")</f>
        <v>10565.698</v>
      </c>
      <c r="I138" s="2">
        <f>IF($C$138 &lt;&gt; "",$C$138, "")</f>
        <v>4850.884</v>
      </c>
      <c r="J138" s="2">
        <f>IF($D$138 &lt;&gt; "",$D$138, "")</f>
        <v>209.351</v>
      </c>
      <c r="K138">
        <f>AVERAGE($H$138,$H$139)</f>
        <v>10565.698</v>
      </c>
      <c r="L138">
        <f>AVERAGE($I$138,$I$139)</f>
        <v>4850.8855000000003</v>
      </c>
      <c r="M138">
        <f>AVERAGE($J$138,$J$139)</f>
        <v>209.3535</v>
      </c>
      <c r="N138"/>
      <c r="O138" s="56">
        <f>$O$164</f>
        <v>128.16718801652905</v>
      </c>
      <c r="P138"/>
      <c r="Q138"/>
      <c r="R138"/>
      <c r="S138"/>
      <c r="T138"/>
      <c r="U138"/>
      <c r="V138" s="156"/>
      <c r="W138" s="157" t="s">
        <v>557</v>
      </c>
      <c r="X138" s="160">
        <v>2</v>
      </c>
      <c r="Y138" s="77">
        <f>O319</f>
        <v>158.37818801652898</v>
      </c>
      <c r="Z138" s="203">
        <f>$X$23*($X$138/$X$148)+$Z$135</f>
        <v>-1.9010416664596205E-4</v>
      </c>
      <c r="AA138" s="162">
        <f t="shared" si="3"/>
        <v>158.37837812069563</v>
      </c>
      <c r="AB138" s="163">
        <f>P320</f>
        <v>21.663136245706557</v>
      </c>
      <c r="AC138" s="164" t="s">
        <v>557</v>
      </c>
      <c r="AD138" s="165">
        <v>2</v>
      </c>
      <c r="AE138" s="163">
        <f t="shared" si="4"/>
        <v>158.37837812069563</v>
      </c>
      <c r="AF138" s="203">
        <f>$AD$23*($AD$138/$AD$148)+$AF$135</f>
        <v>1.5718943698036131E-2</v>
      </c>
      <c r="AG138" s="162">
        <f t="shared" si="5"/>
        <v>158.3626591769976</v>
      </c>
      <c r="AH138" s="163">
        <f t="shared" si="6"/>
        <v>21.663136245706557</v>
      </c>
      <c r="AI138" s="148"/>
      <c r="AJ138" s="57" t="s">
        <v>612</v>
      </c>
      <c r="AK138" s="147">
        <f t="shared" si="2"/>
        <v>145.03774639864591</v>
      </c>
      <c r="AL138" s="147">
        <f t="shared" si="1"/>
        <v>18.15832391081257</v>
      </c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 s="67" t="s">
        <v>105</v>
      </c>
      <c r="B139" s="66">
        <f>_xlfn.IFNA(INDEX(Table_INPUT_2D[X],MATCH(Table8[[#This Row],[UID]],Table_INPUT_2D[Unique ID],0)),"")</f>
        <v>10565.698</v>
      </c>
      <c r="C139" s="66">
        <f>_xlfn.IFNA(INDEX(Table_INPUT_2D[Y],MATCH(Table8[[#This Row],[UID]],Table_INPUT_2D[Unique ID],0)),"")</f>
        <v>4850.8869999999997</v>
      </c>
      <c r="D139" s="66">
        <f>_xlfn.IFNA(INDEX(Table_INPUT_2D[Z],MATCH(Table8[[#This Row],[UID]],Table_INPUT_2D[Unique ID],0)),"")</f>
        <v>209.35599999999999</v>
      </c>
      <c r="E139" s="65" t="s">
        <v>249</v>
      </c>
      <c r="G139" s="2" t="str">
        <f>IF($A$139 &lt;&gt; "",$A$139, "")</f>
        <v>MR9042</v>
      </c>
      <c r="H139" s="2">
        <f>IF($B$139 &lt;&gt; "",$B$139, "")</f>
        <v>10565.698</v>
      </c>
      <c r="I139" s="2">
        <f>IF($C$139 &lt;&gt; "",$C$139, "")</f>
        <v>4850.8869999999997</v>
      </c>
      <c r="J139" s="2">
        <f>IF($D$139 &lt;&gt; "",$D$139, "")</f>
        <v>209.35599999999999</v>
      </c>
      <c r="K139"/>
      <c r="L139"/>
      <c r="M139"/>
      <c r="N139"/>
      <c r="O139" s="56"/>
      <c r="P139"/>
      <c r="Q139"/>
      <c r="R139"/>
      <c r="S139"/>
      <c r="T139"/>
      <c r="U139"/>
      <c r="V139" s="156"/>
      <c r="W139" s="157" t="s">
        <v>560</v>
      </c>
      <c r="X139" s="160">
        <v>3</v>
      </c>
      <c r="Y139" s="77">
        <f>O321</f>
        <v>156.94518801652896</v>
      </c>
      <c r="Z139" s="203">
        <f>$X$23*($X$139/$X$148)+$Z$135</f>
        <v>-1.9140624997915356E-4</v>
      </c>
      <c r="AA139" s="162">
        <f t="shared" si="3"/>
        <v>156.94537942277893</v>
      </c>
      <c r="AB139" s="163">
        <f>P322</f>
        <v>18.654991021171991</v>
      </c>
      <c r="AC139" s="164" t="s">
        <v>560</v>
      </c>
      <c r="AD139" s="165">
        <v>3</v>
      </c>
      <c r="AE139" s="163">
        <f t="shared" si="4"/>
        <v>156.94537942277893</v>
      </c>
      <c r="AF139" s="203">
        <f>$AD$23*($AD$139/$AD$148)+$AF$135</f>
        <v>1.5826607695967887E-2</v>
      </c>
      <c r="AG139" s="162">
        <f t="shared" si="5"/>
        <v>156.92955281508296</v>
      </c>
      <c r="AH139" s="163">
        <f t="shared" si="6"/>
        <v>18.654991021171991</v>
      </c>
      <c r="AI139" s="148"/>
      <c r="AJ139" s="57" t="s">
        <v>615</v>
      </c>
      <c r="AK139" s="147">
        <f t="shared" si="2"/>
        <v>144.32810284664868</v>
      </c>
      <c r="AL139" s="147">
        <f t="shared" si="1"/>
        <v>21.199830807107734</v>
      </c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 s="63" t="s">
        <v>22</v>
      </c>
      <c r="B140" s="66" t="str">
        <f>_xlfn.IFNA(INDEX(Table_INPUT_2D[X],MATCH(Table8[[#This Row],[UID]],Table_INPUT_2D[Unique ID],0)),"")</f>
        <v/>
      </c>
      <c r="C140" s="66" t="str">
        <f>_xlfn.IFNA(INDEX(Table_INPUT_2D[Y],MATCH(Table8[[#This Row],[UID]],Table_INPUT_2D[Unique ID],0)),"")</f>
        <v/>
      </c>
      <c r="D140" s="66" t="str">
        <f>_xlfn.IFNA(INDEX(Table_INPUT_2D[Z],MATCH(Table8[[#This Row],[UID]],Table_INPUT_2D[Unique ID],0)),"")</f>
        <v/>
      </c>
      <c r="E140" s="65"/>
      <c r="G140" s="2" t="str">
        <f>IF($A$140 &lt;&gt; "",$A$140, "")</f>
        <v>STATION</v>
      </c>
      <c r="H140" s="2" t="str">
        <f>IF($B$140 &lt;&gt; "",$B$140, "")</f>
        <v/>
      </c>
      <c r="I140" s="2" t="str">
        <f>IF($C$140 &lt;&gt; "",$C$140, "")</f>
        <v/>
      </c>
      <c r="J140" s="2" t="str">
        <f>IF($D$140 &lt;&gt; "",$D$140, "")</f>
        <v/>
      </c>
      <c r="K140"/>
      <c r="L140"/>
      <c r="M140"/>
      <c r="N140"/>
      <c r="O140" s="56"/>
      <c r="P140"/>
      <c r="Q140"/>
      <c r="R140"/>
      <c r="S140"/>
      <c r="T140"/>
      <c r="U140"/>
      <c r="V140" s="156"/>
      <c r="W140" s="157" t="s">
        <v>563</v>
      </c>
      <c r="X140" s="160">
        <v>4</v>
      </c>
      <c r="Y140" s="77">
        <f>O323</f>
        <v>155.87668801652899</v>
      </c>
      <c r="Z140" s="203">
        <f>$X$23*($X$140/$X$148)+$Z$135</f>
        <v>-1.9270833331234508E-4</v>
      </c>
      <c r="AA140" s="162">
        <f t="shared" si="3"/>
        <v>155.8768807248623</v>
      </c>
      <c r="AB140" s="163">
        <f>P324</f>
        <v>20.873276371953242</v>
      </c>
      <c r="AC140" s="164" t="s">
        <v>563</v>
      </c>
      <c r="AD140" s="165">
        <v>4</v>
      </c>
      <c r="AE140" s="163">
        <f t="shared" si="4"/>
        <v>155.8768807248623</v>
      </c>
      <c r="AF140" s="203">
        <f>$AD$23*($AD$140/$AD$148)+$AF$135</f>
        <v>1.5934271693899642E-2</v>
      </c>
      <c r="AG140" s="162">
        <f t="shared" si="5"/>
        <v>155.8609464531684</v>
      </c>
      <c r="AH140" s="163">
        <f t="shared" si="6"/>
        <v>20.873276371953242</v>
      </c>
      <c r="AI140" s="148"/>
      <c r="AJ140" s="57" t="s">
        <v>618</v>
      </c>
      <c r="AK140" s="147">
        <f t="shared" si="2"/>
        <v>143.73996103076254</v>
      </c>
      <c r="AL140" s="147">
        <f t="shared" si="1"/>
        <v>17.904476039526816</v>
      </c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 s="67" t="s">
        <v>105</v>
      </c>
      <c r="B141" s="66">
        <f>_xlfn.IFNA(INDEX(Table_INPUT_2D[X],MATCH(Table8[[#This Row],[UID]],Table_INPUT_2D[Unique ID],0)),"")</f>
        <v>10565.696</v>
      </c>
      <c r="C141" s="66">
        <f>_xlfn.IFNA(INDEX(Table_INPUT_2D[Y],MATCH(Table8[[#This Row],[UID]],Table_INPUT_2D[Unique ID],0)),"")</f>
        <v>4850.8779999999997</v>
      </c>
      <c r="D141" s="66">
        <f>_xlfn.IFNA(INDEX(Table_INPUT_2D[Z],MATCH(Table8[[#This Row],[UID]],Table_INPUT_2D[Unique ID],0)),"")</f>
        <v>209.339</v>
      </c>
      <c r="E141" s="65" t="s">
        <v>250</v>
      </c>
      <c r="G141" s="2" t="str">
        <f>IF($A$141 &lt;&gt; "",$A$141, "")</f>
        <v>MR9042</v>
      </c>
      <c r="H141" s="2">
        <f>IF($B$141 &lt;&gt; "",$B$141, "")</f>
        <v>10565.696</v>
      </c>
      <c r="I141" s="2">
        <f>IF($C$141 &lt;&gt; "",$C$141, "")</f>
        <v>4850.8779999999997</v>
      </c>
      <c r="J141" s="2">
        <f>IF($D$141 &lt;&gt; "",$D$141, "")</f>
        <v>209.339</v>
      </c>
      <c r="K141">
        <f>AVERAGE($H$141,$H$142)</f>
        <v>10565.697</v>
      </c>
      <c r="L141">
        <f>AVERAGE($I$141,$I$142)</f>
        <v>4850.8795</v>
      </c>
      <c r="M141">
        <f>AVERAGE($J$141,$J$142)</f>
        <v>209.33799999999999</v>
      </c>
      <c r="N141"/>
      <c r="O141" s="56">
        <f>$O$133</f>
        <v>128.164688016529</v>
      </c>
      <c r="P141"/>
      <c r="Q141"/>
      <c r="R141"/>
      <c r="S141"/>
      <c r="T141"/>
      <c r="U141"/>
      <c r="V141" s="156"/>
      <c r="W141" s="157" t="s">
        <v>566</v>
      </c>
      <c r="X141" s="160">
        <v>5</v>
      </c>
      <c r="Y141" s="77">
        <f>O325</f>
        <v>154.83868801652898</v>
      </c>
      <c r="Z141" s="203">
        <f>$X$23*($X$141/$X$148)+$Z$135</f>
        <v>-1.9401041664553662E-4</v>
      </c>
      <c r="AA141" s="162">
        <f t="shared" si="3"/>
        <v>154.83888202694561</v>
      </c>
      <c r="AB141" s="163">
        <f>P326</f>
        <v>18.471586755068891</v>
      </c>
      <c r="AC141" s="164" t="s">
        <v>566</v>
      </c>
      <c r="AD141" s="165">
        <v>5</v>
      </c>
      <c r="AE141" s="163">
        <f t="shared" si="4"/>
        <v>154.83888202694561</v>
      </c>
      <c r="AF141" s="203">
        <f>$AD$23*($AD$141/$AD$148)+$AF$135</f>
        <v>1.6041935691831394E-2</v>
      </c>
      <c r="AG141" s="162">
        <f t="shared" si="5"/>
        <v>154.82284009125377</v>
      </c>
      <c r="AH141" s="163">
        <f t="shared" si="6"/>
        <v>18.471586755068891</v>
      </c>
      <c r="AI141" s="148"/>
      <c r="AJ141" s="57" t="s">
        <v>621</v>
      </c>
      <c r="AK141" s="147">
        <f t="shared" si="2"/>
        <v>143.25231921487642</v>
      </c>
      <c r="AL141" s="147">
        <f t="shared" si="1"/>
        <v>21.586810984951136</v>
      </c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 s="67" t="s">
        <v>105</v>
      </c>
      <c r="B142" s="66">
        <f>_xlfn.IFNA(INDEX(Table_INPUT_2D[X],MATCH(Table8[[#This Row],[UID]],Table_INPUT_2D[Unique ID],0)),"")</f>
        <v>10565.698</v>
      </c>
      <c r="C142" s="66">
        <f>_xlfn.IFNA(INDEX(Table_INPUT_2D[Y],MATCH(Table8[[#This Row],[UID]],Table_INPUT_2D[Unique ID],0)),"")</f>
        <v>4850.8810000000003</v>
      </c>
      <c r="D142" s="66">
        <f>_xlfn.IFNA(INDEX(Table_INPUT_2D[Z],MATCH(Table8[[#This Row],[UID]],Table_INPUT_2D[Unique ID],0)),"")</f>
        <v>209.33699999999999</v>
      </c>
      <c r="E142" s="65" t="s">
        <v>251</v>
      </c>
      <c r="G142" s="2" t="str">
        <f>IF($A$142 &lt;&gt; "",$A$142, "")</f>
        <v>MR9042</v>
      </c>
      <c r="H142" s="2">
        <f>IF($B$142 &lt;&gt; "",$B$142, "")</f>
        <v>10565.698</v>
      </c>
      <c r="I142" s="2">
        <f>IF($C$142 &lt;&gt; "",$C$142, "")</f>
        <v>4850.8810000000003</v>
      </c>
      <c r="J142" s="2">
        <f>IF($D$142 &lt;&gt; "",$D$142, "")</f>
        <v>209.33699999999999</v>
      </c>
      <c r="K142"/>
      <c r="L142"/>
      <c r="M142"/>
      <c r="N142">
        <f>$M$143-$M$141</f>
        <v>0.66400000000001569</v>
      </c>
      <c r="O142" s="56"/>
      <c r="P142">
        <f>SQRT(($K$143-$K$141)^2 +($L$143-$L$141)^2)</f>
        <v>20.692035164526214</v>
      </c>
      <c r="Q142"/>
      <c r="R142"/>
      <c r="S142"/>
      <c r="T142"/>
      <c r="U142"/>
      <c r="V142" s="156"/>
      <c r="W142" s="157" t="s">
        <v>569</v>
      </c>
      <c r="X142" s="160">
        <v>6</v>
      </c>
      <c r="Y142" s="77">
        <f>O327</f>
        <v>154.04668801652898</v>
      </c>
      <c r="Z142" s="203">
        <f>$X$23*($X$142/$X$148)+$Z$135</f>
        <v>-1.9531249997872813E-4</v>
      </c>
      <c r="AA142" s="162">
        <f t="shared" si="3"/>
        <v>154.04688332902896</v>
      </c>
      <c r="AB142" s="163">
        <f>P328</f>
        <v>21.050225800452278</v>
      </c>
      <c r="AC142" s="164" t="s">
        <v>569</v>
      </c>
      <c r="AD142" s="165">
        <v>6</v>
      </c>
      <c r="AE142" s="163">
        <f t="shared" si="4"/>
        <v>154.04688332902896</v>
      </c>
      <c r="AF142" s="203">
        <f>$AD$23*($AD$142/$AD$148)+$AF$135</f>
        <v>1.614959968976315E-2</v>
      </c>
      <c r="AG142" s="162">
        <f t="shared" si="5"/>
        <v>154.0307337293392</v>
      </c>
      <c r="AH142" s="163">
        <f t="shared" si="6"/>
        <v>21.050225800452278</v>
      </c>
      <c r="AI142" s="148"/>
      <c r="AJ142" s="57" t="s">
        <v>631</v>
      </c>
      <c r="AK142" s="147">
        <f t="shared" si="2"/>
        <v>142.5961915805789</v>
      </c>
      <c r="AL142" s="147">
        <f t="shared" si="1"/>
        <v>19.165991651882639</v>
      </c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 s="67" t="s">
        <v>106</v>
      </c>
      <c r="B143" s="66">
        <f>_xlfn.IFNA(INDEX(Table_INPUT_2D[X],MATCH(Table8[[#This Row],[UID]],Table_INPUT_2D[Unique ID],0)),"")</f>
        <v>10585.302</v>
      </c>
      <c r="C143" s="66">
        <f>_xlfn.IFNA(INDEX(Table_INPUT_2D[Y],MATCH(Table8[[#This Row],[UID]],Table_INPUT_2D[Unique ID],0)),"")</f>
        <v>4844.2619999999997</v>
      </c>
      <c r="D143" s="66">
        <f>_xlfn.IFNA(INDEX(Table_INPUT_2D[Z],MATCH(Table8[[#This Row],[UID]],Table_INPUT_2D[Unique ID],0)),"")</f>
        <v>210.00399999999999</v>
      </c>
      <c r="E143" s="65" t="s">
        <v>254</v>
      </c>
      <c r="G143" s="2" t="str">
        <f>IF($A$143 &lt;&gt; "",$A$143, "")</f>
        <v>MR9043</v>
      </c>
      <c r="H143" s="2">
        <f>IF($B$143 &lt;&gt; "",$B$143, "")</f>
        <v>10585.302</v>
      </c>
      <c r="I143" s="2">
        <f>IF($C$143 &lt;&gt; "",$C$143, "")</f>
        <v>4844.2619999999997</v>
      </c>
      <c r="J143" s="2">
        <f>IF($D$143 &lt;&gt; "",$D$143, "")</f>
        <v>210.00399999999999</v>
      </c>
      <c r="K143">
        <f>AVERAGE($H$143,$H$144)</f>
        <v>10585.3025</v>
      </c>
      <c r="L143">
        <f>AVERAGE($I$143,$I$144)</f>
        <v>4844.2624999999998</v>
      </c>
      <c r="M143">
        <f>AVERAGE($J$143,$J$144)</f>
        <v>210.00200000000001</v>
      </c>
      <c r="N143"/>
      <c r="O143" s="56">
        <f>$O$141+($N$142)</f>
        <v>128.82868801652901</v>
      </c>
      <c r="P143"/>
      <c r="Q143"/>
      <c r="R143"/>
      <c r="S143"/>
      <c r="T143"/>
      <c r="U143"/>
      <c r="V143" s="156"/>
      <c r="W143" s="157" t="s">
        <v>572</v>
      </c>
      <c r="X143" s="160">
        <v>7</v>
      </c>
      <c r="Y143" s="77">
        <f>O329</f>
        <v>153.33568801652899</v>
      </c>
      <c r="Z143" s="203">
        <f>$X$23*($X$143/$X$148)+$Z$135</f>
        <v>-1.9661458331191964E-4</v>
      </c>
      <c r="AA143" s="162">
        <f t="shared" si="3"/>
        <v>153.33588463111229</v>
      </c>
      <c r="AB143" s="163">
        <f>P330</f>
        <v>17.602465487822123</v>
      </c>
      <c r="AC143" s="164" t="s">
        <v>572</v>
      </c>
      <c r="AD143" s="165">
        <v>7</v>
      </c>
      <c r="AE143" s="163">
        <f t="shared" si="4"/>
        <v>153.33588463111229</v>
      </c>
      <c r="AF143" s="203">
        <f>$AD$23*($AD$143/$AD$148)+$AF$135</f>
        <v>1.6257263687694905E-2</v>
      </c>
      <c r="AG143" s="162">
        <f t="shared" si="5"/>
        <v>153.3196273674246</v>
      </c>
      <c r="AH143" s="163">
        <f t="shared" si="6"/>
        <v>17.602465487822123</v>
      </c>
      <c r="AI143" s="148"/>
      <c r="AJ143" s="57" t="s">
        <v>634</v>
      </c>
      <c r="AK143" s="147">
        <f t="shared" si="2"/>
        <v>141.91456394628136</v>
      </c>
      <c r="AL143" s="147">
        <f t="shared" si="1"/>
        <v>21.729180955571511</v>
      </c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 s="67" t="s">
        <v>106</v>
      </c>
      <c r="B144" s="66">
        <f>_xlfn.IFNA(INDEX(Table_INPUT_2D[X],MATCH(Table8[[#This Row],[UID]],Table_INPUT_2D[Unique ID],0)),"")</f>
        <v>10585.303</v>
      </c>
      <c r="C144" s="66">
        <f>_xlfn.IFNA(INDEX(Table_INPUT_2D[Y],MATCH(Table8[[#This Row],[UID]],Table_INPUT_2D[Unique ID],0)),"")</f>
        <v>4844.2629999999999</v>
      </c>
      <c r="D144" s="66">
        <f>_xlfn.IFNA(INDEX(Table_INPUT_2D[Z],MATCH(Table8[[#This Row],[UID]],Table_INPUT_2D[Unique ID],0)),"")</f>
        <v>210</v>
      </c>
      <c r="E144" s="65" t="s">
        <v>255</v>
      </c>
      <c r="G144" s="2" t="str">
        <f>IF($A$144 &lt;&gt; "",$A$144, "")</f>
        <v>MR9043</v>
      </c>
      <c r="H144" s="2">
        <f>IF($B$144 &lt;&gt; "",$B$144, "")</f>
        <v>10585.303</v>
      </c>
      <c r="I144" s="2">
        <f>IF($C$144 &lt;&gt; "",$C$144, "")</f>
        <v>4844.2629999999999</v>
      </c>
      <c r="J144" s="2">
        <f>IF($D$144 &lt;&gt; "",$D$144, "")</f>
        <v>210</v>
      </c>
      <c r="K144"/>
      <c r="L144"/>
      <c r="M144"/>
      <c r="N144">
        <f>$M$145-$M$143</f>
        <v>0.43099999999998317</v>
      </c>
      <c r="O144" s="56"/>
      <c r="P144">
        <f>SQRT(($K$145-$K$143)^2 +($L$145-$L$143)^2)</f>
        <v>17.994481716627082</v>
      </c>
      <c r="Q144"/>
      <c r="R144"/>
      <c r="S144"/>
      <c r="T144"/>
      <c r="U144"/>
      <c r="V144" s="156"/>
      <c r="W144" s="157" t="s">
        <v>575</v>
      </c>
      <c r="X144" s="160">
        <v>8</v>
      </c>
      <c r="Y144" s="77">
        <f>O331</f>
        <v>152.80768801652897</v>
      </c>
      <c r="Z144" s="203">
        <f>$X$23*($X$144/$X$148)+$Z$135</f>
        <v>-1.9791666664511118E-4</v>
      </c>
      <c r="AA144" s="162">
        <f t="shared" si="3"/>
        <v>152.80788593319562</v>
      </c>
      <c r="AB144" s="163">
        <f>P332</f>
        <v>21.73028578390031</v>
      </c>
      <c r="AC144" s="164" t="s">
        <v>575</v>
      </c>
      <c r="AD144" s="165">
        <v>8</v>
      </c>
      <c r="AE144" s="163">
        <f t="shared" si="4"/>
        <v>152.80788593319562</v>
      </c>
      <c r="AF144" s="203">
        <f>$AD$23*($AD$144/$AD$148)+$AF$135</f>
        <v>1.6364927685626657E-2</v>
      </c>
      <c r="AG144" s="162">
        <f t="shared" si="5"/>
        <v>152.79152100550999</v>
      </c>
      <c r="AH144" s="163">
        <f t="shared" si="6"/>
        <v>21.73028578390031</v>
      </c>
      <c r="AI144" s="148"/>
      <c r="AJ144" s="57" t="s">
        <v>637</v>
      </c>
      <c r="AK144" s="147">
        <f t="shared" si="2"/>
        <v>141.22293631198389</v>
      </c>
      <c r="AL144" s="147">
        <f t="shared" si="1"/>
        <v>17.49616367235895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 s="67" t="s">
        <v>107</v>
      </c>
      <c r="B145" s="66">
        <f>_xlfn.IFNA(INDEX(Table_INPUT_2D[X],MATCH(Table8[[#This Row],[UID]],Table_INPUT_2D[Unique ID],0)),"")</f>
        <v>10602.575000000001</v>
      </c>
      <c r="C145" s="66">
        <f>_xlfn.IFNA(INDEX(Table_INPUT_2D[Y],MATCH(Table8[[#This Row],[UID]],Table_INPUT_2D[Unique ID],0)),"")</f>
        <v>4839.2160000000003</v>
      </c>
      <c r="D145" s="66">
        <f>_xlfn.IFNA(INDEX(Table_INPUT_2D[Z],MATCH(Table8[[#This Row],[UID]],Table_INPUT_2D[Unique ID],0)),"")</f>
        <v>210.434</v>
      </c>
      <c r="E145" s="65" t="s">
        <v>256</v>
      </c>
      <c r="G145" s="2" t="str">
        <f>IF($A$145 &lt;&gt; "",$A$145, "")</f>
        <v>MR9044</v>
      </c>
      <c r="H145" s="2">
        <f>IF($B$145 &lt;&gt; "",$B$145, "")</f>
        <v>10602.575000000001</v>
      </c>
      <c r="I145" s="2">
        <f>IF($C$145 &lt;&gt; "",$C$145, "")</f>
        <v>4839.2160000000003</v>
      </c>
      <c r="J145" s="2">
        <f>IF($D$145 &lt;&gt; "",$D$145, "")</f>
        <v>210.434</v>
      </c>
      <c r="K145">
        <f>AVERAGE($H$145,$H$146)</f>
        <v>10602.575000000001</v>
      </c>
      <c r="L145">
        <f>AVERAGE($I$145,$I$146)</f>
        <v>4839.2165000000005</v>
      </c>
      <c r="M145">
        <f>AVERAGE($J$145,$J$146)</f>
        <v>210.43299999999999</v>
      </c>
      <c r="N145"/>
      <c r="O145" s="56">
        <f>$O$143+($N$144)</f>
        <v>129.259688016529</v>
      </c>
      <c r="P145"/>
      <c r="Q145"/>
      <c r="R145"/>
      <c r="S145"/>
      <c r="T145"/>
      <c r="U145"/>
      <c r="V145" s="156"/>
      <c r="W145" s="157" t="s">
        <v>578</v>
      </c>
      <c r="X145" s="160">
        <v>9</v>
      </c>
      <c r="Y145" s="77">
        <f>O333</f>
        <v>152.22568801652898</v>
      </c>
      <c r="Z145" s="203">
        <f>$X$23*($X$145/$X$148)+$Z$135</f>
        <v>-1.9921874997830269E-4</v>
      </c>
      <c r="AA145" s="162">
        <f t="shared" si="3"/>
        <v>152.22588723527895</v>
      </c>
      <c r="AB145" s="163">
        <f>P334</f>
        <v>18.46430543643665</v>
      </c>
      <c r="AC145" s="164" t="s">
        <v>578</v>
      </c>
      <c r="AD145" s="165">
        <v>9</v>
      </c>
      <c r="AE145" s="163">
        <f t="shared" si="4"/>
        <v>152.22588723527895</v>
      </c>
      <c r="AF145" s="203">
        <f>$AD$23*($AD$145/$AD$148)+$AF$135</f>
        <v>1.6472591683558413E-2</v>
      </c>
      <c r="AG145" s="162">
        <f t="shared" si="5"/>
        <v>152.20941464359538</v>
      </c>
      <c r="AH145" s="163">
        <f t="shared" si="6"/>
        <v>18.46430543643665</v>
      </c>
      <c r="AI145" s="148"/>
      <c r="AJ145" s="57" t="s">
        <v>640</v>
      </c>
      <c r="AK145" s="147">
        <f t="shared" si="2"/>
        <v>140.81080867768634</v>
      </c>
      <c r="AL145" s="147">
        <f t="shared" si="1"/>
        <v>20.933333728769902</v>
      </c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 s="67" t="s">
        <v>107</v>
      </c>
      <c r="B146" s="66">
        <f>_xlfn.IFNA(INDEX(Table_INPUT_2D[X],MATCH(Table8[[#This Row],[UID]],Table_INPUT_2D[Unique ID],0)),"")</f>
        <v>10602.575000000001</v>
      </c>
      <c r="C146" s="66">
        <f>_xlfn.IFNA(INDEX(Table_INPUT_2D[Y],MATCH(Table8[[#This Row],[UID]],Table_INPUT_2D[Unique ID],0)),"")</f>
        <v>4839.2169999999996</v>
      </c>
      <c r="D146" s="66">
        <f>_xlfn.IFNA(INDEX(Table_INPUT_2D[Z],MATCH(Table8[[#This Row],[UID]],Table_INPUT_2D[Unique ID],0)),"")</f>
        <v>210.43199999999999</v>
      </c>
      <c r="E146" s="65" t="s">
        <v>257</v>
      </c>
      <c r="G146" s="2" t="str">
        <f>IF($A$146 &lt;&gt; "",$A$146, "")</f>
        <v>MR9044</v>
      </c>
      <c r="H146" s="2">
        <f>IF($B$146 &lt;&gt; "",$B$146, "")</f>
        <v>10602.575000000001</v>
      </c>
      <c r="I146" s="2">
        <f>IF($C$146 &lt;&gt; "",$C$146, "")</f>
        <v>4839.2169999999996</v>
      </c>
      <c r="J146" s="2">
        <f>IF($D$146 &lt;&gt; "",$D$146, "")</f>
        <v>210.43199999999999</v>
      </c>
      <c r="K146"/>
      <c r="L146"/>
      <c r="M146"/>
      <c r="N146">
        <f>$M$147-$M$145</f>
        <v>0.74800000000001887</v>
      </c>
      <c r="O146" s="56"/>
      <c r="P146">
        <f>SQRT(($K$147-$K$145)^2 +($L$147-$L$145)^2)</f>
        <v>20.659946182165143</v>
      </c>
      <c r="Q146"/>
      <c r="R146"/>
      <c r="S146"/>
      <c r="T146"/>
      <c r="U146"/>
      <c r="V146" s="156"/>
      <c r="W146" s="157" t="s">
        <v>581</v>
      </c>
      <c r="X146" s="160">
        <v>10</v>
      </c>
      <c r="Y146" s="77">
        <f>O335</f>
        <v>151.40318801652899</v>
      </c>
      <c r="Z146" s="203">
        <f>$X$23*($X$146/$X$148)+$Z$135</f>
        <v>-2.005208333114942E-4</v>
      </c>
      <c r="AA146" s="162">
        <f t="shared" si="3"/>
        <v>151.4033885373623</v>
      </c>
      <c r="AB146" s="163">
        <f>P336</f>
        <v>21.880907413770043</v>
      </c>
      <c r="AC146" s="164" t="s">
        <v>581</v>
      </c>
      <c r="AD146" s="165">
        <v>10</v>
      </c>
      <c r="AE146" s="163">
        <f t="shared" si="4"/>
        <v>151.4033885373623</v>
      </c>
      <c r="AF146" s="203">
        <f>$AD$23*($AD$146/$AD$148)+$AF$135</f>
        <v>1.6580255681490168E-2</v>
      </c>
      <c r="AG146" s="162">
        <f t="shared" si="5"/>
        <v>151.3868082816808</v>
      </c>
      <c r="AH146" s="163">
        <f t="shared" si="6"/>
        <v>21.880907413770043</v>
      </c>
      <c r="AI146" s="148"/>
      <c r="AJ146" s="57" t="s">
        <v>643</v>
      </c>
      <c r="AK146" s="147">
        <f t="shared" si="2"/>
        <v>140.32368104338883</v>
      </c>
      <c r="AL146" s="147">
        <f t="shared" si="1"/>
        <v>20.477958351603757</v>
      </c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 s="67" t="s">
        <v>108</v>
      </c>
      <c r="B147" s="66">
        <f>_xlfn.IFNA(INDEX(Table_INPUT_2D[X],MATCH(Table8[[#This Row],[UID]],Table_INPUT_2D[Unique ID],0)),"")</f>
        <v>10622.275</v>
      </c>
      <c r="C147" s="66">
        <f>_xlfn.IFNA(INDEX(Table_INPUT_2D[Y],MATCH(Table8[[#This Row],[UID]],Table_INPUT_2D[Unique ID],0)),"")</f>
        <v>4832.99</v>
      </c>
      <c r="D147" s="66">
        <f>_xlfn.IFNA(INDEX(Table_INPUT_2D[Z],MATCH(Table8[[#This Row],[UID]],Table_INPUT_2D[Unique ID],0)),"")</f>
        <v>211.18100000000001</v>
      </c>
      <c r="E147" s="65" t="s">
        <v>258</v>
      </c>
      <c r="G147" s="2" t="str">
        <f>IF($A$147 &lt;&gt; "",$A$147, "")</f>
        <v>MR9045</v>
      </c>
      <c r="H147" s="2">
        <f>IF($B$147 &lt;&gt; "",$B$147, "")</f>
        <v>10622.275</v>
      </c>
      <c r="I147" s="2">
        <f>IF($C$147 &lt;&gt; "",$C$147, "")</f>
        <v>4832.99</v>
      </c>
      <c r="J147" s="2">
        <f>IF($D$147 &lt;&gt; "",$D$147, "")</f>
        <v>211.18100000000001</v>
      </c>
      <c r="K147">
        <f>AVERAGE($H$147,$H$148)</f>
        <v>10622.2745</v>
      </c>
      <c r="L147">
        <f>AVERAGE($I$147,$I$148)</f>
        <v>4832.9904999999999</v>
      </c>
      <c r="M147">
        <f>AVERAGE($J$147,$J$148)</f>
        <v>211.18100000000001</v>
      </c>
      <c r="N147"/>
      <c r="O147" s="56">
        <f>$O$145+($N$146)</f>
        <v>130.00768801652902</v>
      </c>
      <c r="P147"/>
      <c r="Q147"/>
      <c r="R147"/>
      <c r="S147"/>
      <c r="T147"/>
      <c r="U147"/>
      <c r="V147" s="156"/>
      <c r="W147" s="157" t="s">
        <v>584</v>
      </c>
      <c r="X147" s="160">
        <v>11</v>
      </c>
      <c r="Y147" s="77">
        <f>O337</f>
        <v>150.68268801652897</v>
      </c>
      <c r="Z147" s="203">
        <f>$X$23*($X$147/$X$148)+$Z$135</f>
        <v>-2.0182291664468574E-4</v>
      </c>
      <c r="AA147" s="162">
        <f t="shared" si="3"/>
        <v>150.68288983944561</v>
      </c>
      <c r="AB147" s="163">
        <f>P338</f>
        <v>15.721589017972374</v>
      </c>
      <c r="AC147" s="164" t="s">
        <v>584</v>
      </c>
      <c r="AD147" s="165">
        <v>11</v>
      </c>
      <c r="AE147" s="163">
        <f t="shared" si="4"/>
        <v>150.68288983944561</v>
      </c>
      <c r="AF147" s="203">
        <f>$AD$23*($AD$147/$AD$148)+$AF$135</f>
        <v>1.668791967942192E-2</v>
      </c>
      <c r="AG147" s="162">
        <f t="shared" si="5"/>
        <v>150.66620191976619</v>
      </c>
      <c r="AH147" s="163">
        <f t="shared" si="6"/>
        <v>15.721589017972374</v>
      </c>
      <c r="AI147" s="148"/>
      <c r="AJ147" s="57" t="s">
        <v>646</v>
      </c>
      <c r="AK147" s="147">
        <f t="shared" si="2"/>
        <v>140.02305340909132</v>
      </c>
      <c r="AL147" s="147">
        <f t="shared" si="1"/>
        <v>20.414319545356516</v>
      </c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 s="67" t="s">
        <v>108</v>
      </c>
      <c r="B148" s="66">
        <f>_xlfn.IFNA(INDEX(Table_INPUT_2D[X],MATCH(Table8[[#This Row],[UID]],Table_INPUT_2D[Unique ID],0)),"")</f>
        <v>10622.273999999999</v>
      </c>
      <c r="C148" s="66">
        <f>_xlfn.IFNA(INDEX(Table_INPUT_2D[Y],MATCH(Table8[[#This Row],[UID]],Table_INPUT_2D[Unique ID],0)),"")</f>
        <v>4832.991</v>
      </c>
      <c r="D148" s="66">
        <f>_xlfn.IFNA(INDEX(Table_INPUT_2D[Z],MATCH(Table8[[#This Row],[UID]],Table_INPUT_2D[Unique ID],0)),"")</f>
        <v>211.18100000000001</v>
      </c>
      <c r="E148" s="65" t="s">
        <v>259</v>
      </c>
      <c r="G148" s="2" t="str">
        <f>IF($A$148 &lt;&gt; "",$A$148, "")</f>
        <v>MR9045</v>
      </c>
      <c r="H148" s="2">
        <f>IF($B$148 &lt;&gt; "",$B$148, "")</f>
        <v>10622.273999999999</v>
      </c>
      <c r="I148" s="2">
        <f>IF($C$148 &lt;&gt; "",$C$148, "")</f>
        <v>4832.991</v>
      </c>
      <c r="J148" s="2">
        <f>IF($D$148 &lt;&gt; "",$D$148, "")</f>
        <v>211.18100000000001</v>
      </c>
      <c r="K148"/>
      <c r="L148"/>
      <c r="M148"/>
      <c r="N148">
        <f>$M$149-$M$147</f>
        <v>0.56499999999999773</v>
      </c>
      <c r="O148" s="56"/>
      <c r="P148">
        <f>SQRT(($K$149-$K$147)^2 +($L$149-$L$147)^2)</f>
        <v>20.933373270928897</v>
      </c>
      <c r="Q148"/>
      <c r="R148"/>
      <c r="S148"/>
      <c r="T148"/>
      <c r="U148"/>
      <c r="V148" s="156"/>
      <c r="W148" s="157" t="s">
        <v>587</v>
      </c>
      <c r="X148" s="160">
        <v>12</v>
      </c>
      <c r="Y148" s="77">
        <f>O339</f>
        <v>150.16768801652898</v>
      </c>
      <c r="Z148" s="203">
        <f>$X$23*($X$148/$X$148)+$Z$135</f>
        <v>-2.0312499997787725E-4</v>
      </c>
      <c r="AA148" s="162">
        <f t="shared" si="3"/>
        <v>150.16789114152897</v>
      </c>
      <c r="AB148" s="163">
        <f>P348</f>
        <v>23.138240641844856</v>
      </c>
      <c r="AC148" s="164" t="s">
        <v>587</v>
      </c>
      <c r="AD148" s="165">
        <v>12</v>
      </c>
      <c r="AE148" s="163">
        <f t="shared" si="4"/>
        <v>150.16789114152897</v>
      </c>
      <c r="AF148" s="203">
        <f>$AD$23*($AD$148/$AD$148)+$AF$135</f>
        <v>1.6795583677353676E-2</v>
      </c>
      <c r="AG148" s="162">
        <f t="shared" si="5"/>
        <v>150.15109555785162</v>
      </c>
      <c r="AH148" s="163">
        <f t="shared" si="6"/>
        <v>23.138240641844856</v>
      </c>
      <c r="AI148" s="148"/>
      <c r="AJ148" s="57" t="s">
        <v>649</v>
      </c>
      <c r="AK148" s="147">
        <f t="shared" si="2"/>
        <v>139.86942577479377</v>
      </c>
      <c r="AL148" s="147">
        <f t="shared" si="1"/>
        <v>20.281552171864018</v>
      </c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 s="67" t="s">
        <v>109</v>
      </c>
      <c r="B149" s="66">
        <f>_xlfn.IFNA(INDEX(Table_INPUT_2D[X],MATCH(Table8[[#This Row],[UID]],Table_INPUT_2D[Unique ID],0)),"")</f>
        <v>10642.235000000001</v>
      </c>
      <c r="C149" s="66">
        <f>_xlfn.IFNA(INDEX(Table_INPUT_2D[Y],MATCH(Table8[[#This Row],[UID]],Table_INPUT_2D[Unique ID],0)),"")</f>
        <v>4826.683</v>
      </c>
      <c r="D149" s="66">
        <f>_xlfn.IFNA(INDEX(Table_INPUT_2D[Z],MATCH(Table8[[#This Row],[UID]],Table_INPUT_2D[Unique ID],0)),"")</f>
        <v>211.74600000000001</v>
      </c>
      <c r="E149" s="65" t="s">
        <v>260</v>
      </c>
      <c r="G149" s="2" t="str">
        <f>IF($A$149 &lt;&gt; "",$A$149, "")</f>
        <v>MR9046</v>
      </c>
      <c r="H149" s="2">
        <f>IF($B$149 &lt;&gt; "",$B$149, "")</f>
        <v>10642.235000000001</v>
      </c>
      <c r="I149" s="2">
        <f>IF($C$149 &lt;&gt; "",$C$149, "")</f>
        <v>4826.683</v>
      </c>
      <c r="J149" s="2">
        <f>IF($D$149 &lt;&gt; "",$D$149, "")</f>
        <v>211.74600000000001</v>
      </c>
      <c r="K149">
        <f>AVERAGE($H$149,$H$150)</f>
        <v>10642.235000000001</v>
      </c>
      <c r="L149">
        <f>AVERAGE($I$149,$I$150)</f>
        <v>4826.683</v>
      </c>
      <c r="M149">
        <f>AVERAGE($J$149,$J$150)</f>
        <v>211.74600000000001</v>
      </c>
      <c r="N149"/>
      <c r="O149" s="56">
        <f>$O$147+($N$148)</f>
        <v>130.57268801652901</v>
      </c>
      <c r="P149"/>
      <c r="Q149"/>
      <c r="R149"/>
      <c r="S149"/>
      <c r="T149"/>
      <c r="U149"/>
      <c r="V149" s="156"/>
      <c r="W149" s="157"/>
      <c r="X149" s="160"/>
      <c r="Y149" s="77"/>
      <c r="Z149" s="204"/>
      <c r="AA149" s="157"/>
      <c r="AB149" s="167"/>
      <c r="AC149" s="168"/>
      <c r="AD149" s="168"/>
      <c r="AE149" s="163"/>
      <c r="AF149" s="202"/>
      <c r="AG149" s="147"/>
      <c r="AH149" s="163"/>
      <c r="AI149" s="148"/>
      <c r="AJ149" s="57" t="s">
        <v>652</v>
      </c>
      <c r="AK149" s="147">
        <f t="shared" si="2"/>
        <v>139.83879814049629</v>
      </c>
      <c r="AL149" s="147">
        <f t="shared" si="1"/>
        <v>20.476226068297045</v>
      </c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 s="67" t="s">
        <v>109</v>
      </c>
      <c r="B150" s="66">
        <f>_xlfn.IFNA(INDEX(Table_INPUT_2D[X],MATCH(Table8[[#This Row],[UID]],Table_INPUT_2D[Unique ID],0)),"")</f>
        <v>10642.235000000001</v>
      </c>
      <c r="C150" s="66">
        <f>_xlfn.IFNA(INDEX(Table_INPUT_2D[Y],MATCH(Table8[[#This Row],[UID]],Table_INPUT_2D[Unique ID],0)),"")</f>
        <v>4826.683</v>
      </c>
      <c r="D150" s="66">
        <f>_xlfn.IFNA(INDEX(Table_INPUT_2D[Z],MATCH(Table8[[#This Row],[UID]],Table_INPUT_2D[Unique ID],0)),"")</f>
        <v>211.74600000000001</v>
      </c>
      <c r="E150" s="65" t="s">
        <v>261</v>
      </c>
      <c r="G150" s="2" t="str">
        <f>IF($A$150 &lt;&gt; "",$A$150, "")</f>
        <v>MR9046</v>
      </c>
      <c r="H150" s="2">
        <f>IF($B$150 &lt;&gt; "",$B$150, "")</f>
        <v>10642.235000000001</v>
      </c>
      <c r="I150" s="2">
        <f>IF($C$150 &lt;&gt; "",$C$150, "")</f>
        <v>4826.683</v>
      </c>
      <c r="J150" s="2">
        <f>IF($D$150 &lt;&gt; "",$D$150, "")</f>
        <v>211.74600000000001</v>
      </c>
      <c r="K150"/>
      <c r="L150"/>
      <c r="M150"/>
      <c r="N150">
        <f>$M$151-$M$149</f>
        <v>0.61549999999996885</v>
      </c>
      <c r="O150" s="56"/>
      <c r="P150">
        <f>SQRT(($K$151-$K$149)^2 +($L$151-$L$149)^2)</f>
        <v>17.835824987928412</v>
      </c>
      <c r="Q150"/>
      <c r="R150"/>
      <c r="S150"/>
      <c r="T150"/>
      <c r="U150"/>
      <c r="V150" s="156">
        <v>14</v>
      </c>
      <c r="W150" s="157" t="s">
        <v>597</v>
      </c>
      <c r="X150" s="160">
        <v>1</v>
      </c>
      <c r="Y150" s="77">
        <f>O349</f>
        <v>149.38668801652898</v>
      </c>
      <c r="Z150" s="203">
        <f>$X$23*($X$150/$X$158)+$Z$148</f>
        <v>-2.0486111108879927E-4</v>
      </c>
      <c r="AA150" s="162">
        <f t="shared" si="3"/>
        <v>149.38689287764007</v>
      </c>
      <c r="AB150" s="163">
        <f>P350</f>
        <v>23.150326066819382</v>
      </c>
      <c r="AC150" s="164" t="s">
        <v>597</v>
      </c>
      <c r="AD150" s="165">
        <v>1</v>
      </c>
      <c r="AE150" s="163">
        <f t="shared" si="4"/>
        <v>149.38689287764007</v>
      </c>
      <c r="AF150" s="203">
        <f>$AD$23*($AD$150/$AD$158)+$AF$148</f>
        <v>1.6939135674596015E-2</v>
      </c>
      <c r="AG150" s="162">
        <f t="shared" si="5"/>
        <v>149.36995374196547</v>
      </c>
      <c r="AH150" s="163">
        <f t="shared" si="6"/>
        <v>23.150326066819382</v>
      </c>
      <c r="AI150" s="148"/>
      <c r="AJ150" s="57" t="s">
        <v>655</v>
      </c>
      <c r="AK150" s="147">
        <f t="shared" si="2"/>
        <v>139.21867050619875</v>
      </c>
      <c r="AL150" s="147">
        <f t="shared" si="1"/>
        <v>31.221405173374354</v>
      </c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 s="67" t="s">
        <v>110</v>
      </c>
      <c r="B151" s="66">
        <f>_xlfn.IFNA(INDEX(Table_INPUT_2D[X],MATCH(Table8[[#This Row],[UID]],Table_INPUT_2D[Unique ID],0)),"")</f>
        <v>10659.272000000001</v>
      </c>
      <c r="C151" s="66">
        <f>_xlfn.IFNA(INDEX(Table_INPUT_2D[Y],MATCH(Table8[[#This Row],[UID]],Table_INPUT_2D[Unique ID],0)),"")</f>
        <v>4821.4049999999997</v>
      </c>
      <c r="D151" s="66">
        <f>_xlfn.IFNA(INDEX(Table_INPUT_2D[Z],MATCH(Table8[[#This Row],[UID]],Table_INPUT_2D[Unique ID],0)),"")</f>
        <v>212.36199999999999</v>
      </c>
      <c r="E151" s="65" t="s">
        <v>262</v>
      </c>
      <c r="G151" s="2" t="str">
        <f>IF($A$151 &lt;&gt; "",$A$151, "")</f>
        <v>MR9047</v>
      </c>
      <c r="H151" s="2">
        <f>IF($B$151 &lt;&gt; "",$B$151, "")</f>
        <v>10659.272000000001</v>
      </c>
      <c r="I151" s="2">
        <f>IF($C$151 &lt;&gt; "",$C$151, "")</f>
        <v>4821.4049999999997</v>
      </c>
      <c r="J151" s="2">
        <f>IF($D$151 &lt;&gt; "",$D$151, "")</f>
        <v>212.36199999999999</v>
      </c>
      <c r="K151">
        <f>AVERAGE($H$151,$H$152)</f>
        <v>10659.272000000001</v>
      </c>
      <c r="L151">
        <f>AVERAGE($I$151,$I$152)</f>
        <v>4821.4049999999997</v>
      </c>
      <c r="M151">
        <f>AVERAGE($J$151,$J$152)</f>
        <v>212.36149999999998</v>
      </c>
      <c r="N151"/>
      <c r="O151" s="56">
        <f>$O$149+($N$150)</f>
        <v>131.18818801652898</v>
      </c>
      <c r="P151"/>
      <c r="Q151"/>
      <c r="R151"/>
      <c r="S151"/>
      <c r="T151"/>
      <c r="U151"/>
      <c r="V151" s="156"/>
      <c r="W151" s="157" t="s">
        <v>600</v>
      </c>
      <c r="X151" s="160">
        <v>2</v>
      </c>
      <c r="Y151" s="77">
        <f>O351</f>
        <v>148.20718801652896</v>
      </c>
      <c r="Z151" s="203">
        <f>$X$23*($X$151/$X$158)+$Z$148</f>
        <v>-2.0659722219972131E-4</v>
      </c>
      <c r="AA151" s="162">
        <f t="shared" si="3"/>
        <v>148.20739461375115</v>
      </c>
      <c r="AB151" s="163">
        <f>P352</f>
        <v>18.715307137473975</v>
      </c>
      <c r="AC151" s="164" t="s">
        <v>600</v>
      </c>
      <c r="AD151" s="165">
        <v>2</v>
      </c>
      <c r="AE151" s="163">
        <f t="shared" si="4"/>
        <v>148.20739461375115</v>
      </c>
      <c r="AF151" s="203">
        <f>$AD$23*($AD$151/$AD$158)+$AF$148</f>
        <v>1.7082687671838355E-2</v>
      </c>
      <c r="AG151" s="162">
        <f t="shared" si="5"/>
        <v>148.19031192607932</v>
      </c>
      <c r="AH151" s="163">
        <f t="shared" si="6"/>
        <v>18.715307137473975</v>
      </c>
      <c r="AI151" s="148"/>
      <c r="AJ151" s="57" t="s">
        <v>658</v>
      </c>
      <c r="AK151" s="147">
        <f t="shared" si="2"/>
        <v>139.25304287190121</v>
      </c>
      <c r="AL151" s="147">
        <f t="shared" si="1"/>
        <v>18.913448898864917</v>
      </c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 s="67" t="s">
        <v>110</v>
      </c>
      <c r="B152" s="66">
        <f>_xlfn.IFNA(INDEX(Table_INPUT_2D[X],MATCH(Table8[[#This Row],[UID]],Table_INPUT_2D[Unique ID],0)),"")</f>
        <v>10659.272000000001</v>
      </c>
      <c r="C152" s="66">
        <f>_xlfn.IFNA(INDEX(Table_INPUT_2D[Y],MATCH(Table8[[#This Row],[UID]],Table_INPUT_2D[Unique ID],0)),"")</f>
        <v>4821.4049999999997</v>
      </c>
      <c r="D152" s="66">
        <f>_xlfn.IFNA(INDEX(Table_INPUT_2D[Z],MATCH(Table8[[#This Row],[UID]],Table_INPUT_2D[Unique ID],0)),"")</f>
        <v>212.36099999999999</v>
      </c>
      <c r="E152" s="65" t="s">
        <v>263</v>
      </c>
      <c r="G152" s="2" t="str">
        <f>IF($A$152 &lt;&gt; "",$A$152, "")</f>
        <v>MR9047</v>
      </c>
      <c r="H152" s="2">
        <f>IF($B$152 &lt;&gt; "",$B$152, "")</f>
        <v>10659.272000000001</v>
      </c>
      <c r="I152" s="2">
        <f>IF($C$152 &lt;&gt; "",$C$152, "")</f>
        <v>4821.4049999999997</v>
      </c>
      <c r="J152" s="2">
        <f>IF($D$152 &lt;&gt; "",$D$152, "")</f>
        <v>212.36099999999999</v>
      </c>
      <c r="K152"/>
      <c r="L152"/>
      <c r="M152"/>
      <c r="N152">
        <f>$M$153-$M$151</f>
        <v>0.65250000000003183</v>
      </c>
      <c r="O152" s="56"/>
      <c r="P152">
        <f>SQRT(($K$153-$K$151)^2 +($L$153-$L$151)^2)</f>
        <v>20.890803586745054</v>
      </c>
      <c r="Q152"/>
      <c r="R152"/>
      <c r="S152"/>
      <c r="T152"/>
      <c r="U152"/>
      <c r="V152" s="156"/>
      <c r="W152" s="157" t="s">
        <v>603</v>
      </c>
      <c r="X152" s="160">
        <v>3</v>
      </c>
      <c r="Y152" s="77">
        <f>O353</f>
        <v>147.37668801652899</v>
      </c>
      <c r="Z152" s="203">
        <f>$X$23*($X$152/$X$158)+$Z$148</f>
        <v>-2.0833333331064333E-4</v>
      </c>
      <c r="AA152" s="162">
        <f t="shared" si="3"/>
        <v>147.37689634986231</v>
      </c>
      <c r="AB152" s="163">
        <f>P354</f>
        <v>18.574534933612902</v>
      </c>
      <c r="AC152" s="164" t="s">
        <v>603</v>
      </c>
      <c r="AD152" s="165">
        <v>3</v>
      </c>
      <c r="AE152" s="163">
        <f t="shared" si="4"/>
        <v>147.37689634986231</v>
      </c>
      <c r="AF152" s="203">
        <f>$AD$23*($AD$152/$AD$158)+$AF$148</f>
        <v>1.7226239669080694E-2</v>
      </c>
      <c r="AG152" s="162">
        <f t="shared" si="5"/>
        <v>147.35967011019324</v>
      </c>
      <c r="AH152" s="163">
        <f t="shared" si="6"/>
        <v>18.574534933612902</v>
      </c>
      <c r="AI152" s="148"/>
      <c r="AJ152" s="57" t="s">
        <v>668</v>
      </c>
      <c r="AK152" s="147">
        <f t="shared" si="2"/>
        <v>138.97940105601509</v>
      </c>
      <c r="AL152" s="147">
        <f t="shared" si="1"/>
        <v>22.080450221860485</v>
      </c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 s="67" t="s">
        <v>111</v>
      </c>
      <c r="B153" s="66">
        <f>_xlfn.IFNA(INDEX(Table_INPUT_2D[X],MATCH(Table8[[#This Row],[UID]],Table_INPUT_2D[Unique ID],0)),"")</f>
        <v>10679.205</v>
      </c>
      <c r="C153" s="66">
        <f>_xlfn.IFNA(INDEX(Table_INPUT_2D[Y],MATCH(Table8[[#This Row],[UID]],Table_INPUT_2D[Unique ID],0)),"")</f>
        <v>4815.1540000000005</v>
      </c>
      <c r="D153" s="66">
        <f>_xlfn.IFNA(INDEX(Table_INPUT_2D[Z],MATCH(Table8[[#This Row],[UID]],Table_INPUT_2D[Unique ID],0)),"")</f>
        <v>213.01400000000001</v>
      </c>
      <c r="E153" s="65" t="s">
        <v>264</v>
      </c>
      <c r="G153" s="2" t="str">
        <f>IF($A$153 &lt;&gt; "",$A$153, "")</f>
        <v>MR9048</v>
      </c>
      <c r="H153" s="2">
        <f>IF($B$153 &lt;&gt; "",$B$153, "")</f>
        <v>10679.205</v>
      </c>
      <c r="I153" s="2">
        <f>IF($C$153 &lt;&gt; "",$C$153, "")</f>
        <v>4815.1540000000005</v>
      </c>
      <c r="J153" s="2">
        <f>IF($D$153 &lt;&gt; "",$D$153, "")</f>
        <v>213.01400000000001</v>
      </c>
      <c r="K153">
        <f>AVERAGE($H$153,$H$154)</f>
        <v>10679.2055</v>
      </c>
      <c r="L153">
        <f>AVERAGE($I$153,$I$154)</f>
        <v>4815.1535000000003</v>
      </c>
      <c r="M153">
        <f>AVERAGE($J$153,$J$154)</f>
        <v>213.01400000000001</v>
      </c>
      <c r="N153"/>
      <c r="O153" s="56">
        <f>$O$151+($N$152)</f>
        <v>131.84068801652901</v>
      </c>
      <c r="P153"/>
      <c r="Q153"/>
      <c r="R153"/>
      <c r="S153"/>
      <c r="T153"/>
      <c r="U153"/>
      <c r="V153" s="156"/>
      <c r="W153" s="157" t="s">
        <v>606</v>
      </c>
      <c r="X153" s="160">
        <v>4</v>
      </c>
      <c r="Y153" s="77">
        <f>O355</f>
        <v>146.81618801652897</v>
      </c>
      <c r="Z153" s="203">
        <f>$X$23*($X$153/$X$158)+$Z$148</f>
        <v>-2.1006944442156537E-4</v>
      </c>
      <c r="AA153" s="162">
        <f t="shared" si="3"/>
        <v>146.81639808597339</v>
      </c>
      <c r="AB153" s="163">
        <f>P356</f>
        <v>21.475718241772384</v>
      </c>
      <c r="AC153" s="164" t="s">
        <v>606</v>
      </c>
      <c r="AD153" s="165">
        <v>4</v>
      </c>
      <c r="AE153" s="163">
        <f t="shared" si="4"/>
        <v>146.81639808597339</v>
      </c>
      <c r="AF153" s="203">
        <f>$AD$23*($AD$153/$AD$158)+$AF$148</f>
        <v>1.7369791666323034E-2</v>
      </c>
      <c r="AG153" s="162">
        <f t="shared" si="5"/>
        <v>146.79902829430708</v>
      </c>
      <c r="AH153" s="163">
        <f t="shared" si="6"/>
        <v>21.475718241772384</v>
      </c>
      <c r="AI153" s="148"/>
      <c r="AJ153" s="57" t="s">
        <v>671</v>
      </c>
      <c r="AK153" s="147">
        <f t="shared" si="2"/>
        <v>137.62375924012892</v>
      </c>
      <c r="AL153" s="147">
        <f t="shared" si="1"/>
        <v>18.942264978084946</v>
      </c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 s="67" t="s">
        <v>111</v>
      </c>
      <c r="B154" s="66">
        <f>_xlfn.IFNA(INDEX(Table_INPUT_2D[X],MATCH(Table8[[#This Row],[UID]],Table_INPUT_2D[Unique ID],0)),"")</f>
        <v>10679.206</v>
      </c>
      <c r="C154" s="66">
        <f>_xlfn.IFNA(INDEX(Table_INPUT_2D[Y],MATCH(Table8[[#This Row],[UID]],Table_INPUT_2D[Unique ID],0)),"")</f>
        <v>4815.1530000000002</v>
      </c>
      <c r="D154" s="66">
        <f>_xlfn.IFNA(INDEX(Table_INPUT_2D[Z],MATCH(Table8[[#This Row],[UID]],Table_INPUT_2D[Unique ID],0)),"")</f>
        <v>213.01400000000001</v>
      </c>
      <c r="E154" s="65" t="s">
        <v>265</v>
      </c>
      <c r="G154" s="2" t="str">
        <f>IF($A$154 &lt;&gt; "",$A$154, "")</f>
        <v>MR9048</v>
      </c>
      <c r="H154" s="2">
        <f>IF($B$154 &lt;&gt; "",$B$154, "")</f>
        <v>10679.206</v>
      </c>
      <c r="I154" s="2">
        <f>IF($C$154 &lt;&gt; "",$C$154, "")</f>
        <v>4815.1530000000002</v>
      </c>
      <c r="J154" s="2">
        <f>IF($D$154 &lt;&gt; "",$D$154, "")</f>
        <v>213.01400000000001</v>
      </c>
      <c r="K154"/>
      <c r="L154"/>
      <c r="M154"/>
      <c r="N154">
        <f>$M$155-$M$153</f>
        <v>0.66849999999999454</v>
      </c>
      <c r="O154" s="56"/>
      <c r="P154">
        <f>SQRT(($K$155-$K$153)^2 +($L$155-$L$153)^2)</f>
        <v>20.885468183644836</v>
      </c>
      <c r="Q154"/>
      <c r="R154"/>
      <c r="S154"/>
      <c r="T154"/>
      <c r="U154"/>
      <c r="V154" s="156"/>
      <c r="W154" s="157" t="s">
        <v>609</v>
      </c>
      <c r="X154" s="160">
        <v>5</v>
      </c>
      <c r="Y154" s="77">
        <f>O357</f>
        <v>145.90368801652897</v>
      </c>
      <c r="Z154" s="203">
        <f>$X$23*($X$154/$X$158)+$Z$148</f>
        <v>-2.1180555553248738E-4</v>
      </c>
      <c r="AA154" s="162">
        <f t="shared" si="3"/>
        <v>145.9038998220845</v>
      </c>
      <c r="AB154" s="163">
        <f>P358</f>
        <v>18.533153779106179</v>
      </c>
      <c r="AC154" s="164" t="s">
        <v>609</v>
      </c>
      <c r="AD154" s="165">
        <v>5</v>
      </c>
      <c r="AE154" s="163">
        <f t="shared" si="4"/>
        <v>145.9038998220845</v>
      </c>
      <c r="AF154" s="203">
        <f>$AD$23*($AD$154/$AD$158)+$AF$148</f>
        <v>1.751334366356537E-2</v>
      </c>
      <c r="AG154" s="162">
        <f t="shared" si="5"/>
        <v>145.88638647842095</v>
      </c>
      <c r="AH154" s="163">
        <f t="shared" si="6"/>
        <v>18.533153779106179</v>
      </c>
      <c r="AI154" s="148"/>
      <c r="AJ154" s="57" t="s">
        <v>674</v>
      </c>
      <c r="AK154" s="147">
        <f t="shared" si="2"/>
        <v>137.18211742424279</v>
      </c>
      <c r="AL154" s="147">
        <f t="shared" si="1"/>
        <v>20.031275652089185</v>
      </c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 s="67" t="s">
        <v>112</v>
      </c>
      <c r="B155" s="66">
        <f>_xlfn.IFNA(INDEX(Table_INPUT_2D[X],MATCH(Table8[[#This Row],[UID]],Table_INPUT_2D[Unique ID],0)),"")</f>
        <v>10699.120999999999</v>
      </c>
      <c r="C155" s="66">
        <f>_xlfn.IFNA(INDEX(Table_INPUT_2D[Y],MATCH(Table8[[#This Row],[UID]],Table_INPUT_2D[Unique ID],0)),"")</f>
        <v>4808.8609999999999</v>
      </c>
      <c r="D155" s="66">
        <f>_xlfn.IFNA(INDEX(Table_INPUT_2D[Z],MATCH(Table8[[#This Row],[UID]],Table_INPUT_2D[Unique ID],0)),"")</f>
        <v>213.68199999999999</v>
      </c>
      <c r="E155" s="65" t="s">
        <v>266</v>
      </c>
      <c r="G155" s="2" t="str">
        <f>IF($A$155 &lt;&gt; "",$A$155, "")</f>
        <v>MR9049</v>
      </c>
      <c r="H155" s="2">
        <f>IF($B$155 &lt;&gt; "",$B$155, "")</f>
        <v>10699.120999999999</v>
      </c>
      <c r="I155" s="2">
        <f>IF($C$155 &lt;&gt; "",$C$155, "")</f>
        <v>4808.8609999999999</v>
      </c>
      <c r="J155" s="2">
        <f>IF($D$155 &lt;&gt; "",$D$155, "")</f>
        <v>213.68199999999999</v>
      </c>
      <c r="K155">
        <f>AVERAGE($H$155,$H$156)</f>
        <v>10699.120500000001</v>
      </c>
      <c r="L155">
        <f>AVERAGE($I$155,$I$156)</f>
        <v>4808.8609999999999</v>
      </c>
      <c r="M155">
        <f>AVERAGE($J$155,$J$156)</f>
        <v>213.6825</v>
      </c>
      <c r="N155"/>
      <c r="O155" s="56">
        <f>$O$153+($N$154)</f>
        <v>132.50918801652901</v>
      </c>
      <c r="P155"/>
      <c r="Q155"/>
      <c r="R155"/>
      <c r="S155"/>
      <c r="T155"/>
      <c r="U155"/>
      <c r="V155" s="156"/>
      <c r="W155" s="157" t="s">
        <v>612</v>
      </c>
      <c r="X155" s="160">
        <v>6</v>
      </c>
      <c r="Y155" s="77">
        <f>O359</f>
        <v>145.05518801652897</v>
      </c>
      <c r="Z155" s="203">
        <f>$X$23*($X$156/$X$158)+$Z$148</f>
        <v>-2.1527777775433144E-4</v>
      </c>
      <c r="AA155" s="162">
        <f t="shared" si="3"/>
        <v>145.05540329430673</v>
      </c>
      <c r="AB155" s="163">
        <f>P360</f>
        <v>18.15832391081257</v>
      </c>
      <c r="AC155" s="164" t="s">
        <v>612</v>
      </c>
      <c r="AD155" s="165">
        <v>6</v>
      </c>
      <c r="AE155" s="163">
        <f t="shared" si="4"/>
        <v>145.05540329430673</v>
      </c>
      <c r="AF155" s="203">
        <f>$AD$23*($AD$155/$AD$158)+$AF$148</f>
        <v>1.7656895660807709E-2</v>
      </c>
      <c r="AG155" s="162">
        <f t="shared" si="5"/>
        <v>145.03774639864591</v>
      </c>
      <c r="AH155" s="163">
        <f t="shared" si="6"/>
        <v>18.15832391081257</v>
      </c>
      <c r="AI155" s="148"/>
      <c r="AJ155" s="57" t="s">
        <v>677</v>
      </c>
      <c r="AK155" s="147">
        <f t="shared" si="2"/>
        <v>136.92297560835669</v>
      </c>
      <c r="AL155" s="147">
        <f t="shared" si="1"/>
        <v>24.520138381542907</v>
      </c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 s="67" t="s">
        <v>112</v>
      </c>
      <c r="B156" s="66">
        <f>_xlfn.IFNA(INDEX(Table_INPUT_2D[X],MATCH(Table8[[#This Row],[UID]],Table_INPUT_2D[Unique ID],0)),"")</f>
        <v>10699.12</v>
      </c>
      <c r="C156" s="66">
        <f>_xlfn.IFNA(INDEX(Table_INPUT_2D[Y],MATCH(Table8[[#This Row],[UID]],Table_INPUT_2D[Unique ID],0)),"")</f>
        <v>4808.8609999999999</v>
      </c>
      <c r="D156" s="66">
        <f>_xlfn.IFNA(INDEX(Table_INPUT_2D[Z],MATCH(Table8[[#This Row],[UID]],Table_INPUT_2D[Unique ID],0)),"")</f>
        <v>213.68299999999999</v>
      </c>
      <c r="E156" s="65" t="s">
        <v>267</v>
      </c>
      <c r="G156" s="2" t="str">
        <f>IF($A$156 &lt;&gt; "",$A$156, "")</f>
        <v>MR9049</v>
      </c>
      <c r="H156" s="2">
        <f>IF($B$156 &lt;&gt; "",$B$156, "")</f>
        <v>10699.12</v>
      </c>
      <c r="I156" s="2">
        <f>IF($C$156 &lt;&gt; "",$C$156, "")</f>
        <v>4808.8609999999999</v>
      </c>
      <c r="J156" s="2">
        <f>IF($D$156 &lt;&gt; "",$D$156, "")</f>
        <v>213.68299999999999</v>
      </c>
      <c r="K156"/>
      <c r="L156"/>
      <c r="M156"/>
      <c r="N156">
        <f>$M$157-$M$155</f>
        <v>0.65600000000000591</v>
      </c>
      <c r="O156" s="56"/>
      <c r="P156">
        <f>SQRT(($K$157-$K$155)^2 +($L$157-$L$155)^2)</f>
        <v>20.88086324843859</v>
      </c>
      <c r="Q156"/>
      <c r="R156"/>
      <c r="S156"/>
      <c r="T156"/>
      <c r="U156"/>
      <c r="V156" s="156"/>
      <c r="W156" s="157" t="s">
        <v>615</v>
      </c>
      <c r="X156" s="160">
        <v>7</v>
      </c>
      <c r="Y156" s="77">
        <f>O361</f>
        <v>144.34568801652898</v>
      </c>
      <c r="Z156" s="203">
        <f>$X$23*($X$156/$X$158)+$Z$148</f>
        <v>-2.1527777775433144E-4</v>
      </c>
      <c r="AA156" s="162">
        <f t="shared" si="3"/>
        <v>144.34590329430674</v>
      </c>
      <c r="AB156" s="163">
        <f>P362</f>
        <v>21.199830807107734</v>
      </c>
      <c r="AC156" s="164" t="s">
        <v>615</v>
      </c>
      <c r="AD156" s="165">
        <v>7</v>
      </c>
      <c r="AE156" s="163">
        <f t="shared" si="4"/>
        <v>144.34590329430674</v>
      </c>
      <c r="AF156" s="203">
        <f>$AD$23*($AD$156/$AD$158)+$AF$148</f>
        <v>1.7800447658050049E-2</v>
      </c>
      <c r="AG156" s="162">
        <f t="shared" si="5"/>
        <v>144.32810284664868</v>
      </c>
      <c r="AH156" s="163">
        <f t="shared" si="6"/>
        <v>21.199830807107734</v>
      </c>
      <c r="AI156" s="148"/>
      <c r="AJ156" s="57" t="s">
        <v>680</v>
      </c>
      <c r="AK156" s="147">
        <f t="shared" si="2"/>
        <v>136.92483379247057</v>
      </c>
      <c r="AL156" s="147">
        <f t="shared" ref="AL156:AL157" si="7">IF(VLOOKUP($AJ156,$AC$28:$AH$179,6,)=0,"",VLOOKUP($AJ156,$AC$28:$AH$179,6,))</f>
        <v>14.054901929575442</v>
      </c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 s="67" t="s">
        <v>113</v>
      </c>
      <c r="B157" s="66">
        <f>_xlfn.IFNA(INDEX(Table_INPUT_2D[X],MATCH(Table8[[#This Row],[UID]],Table_INPUT_2D[Unique ID],0)),"")</f>
        <v>10719.048000000001</v>
      </c>
      <c r="C157" s="66">
        <f>_xlfn.IFNA(INDEX(Table_INPUT_2D[Y],MATCH(Table8[[#This Row],[UID]],Table_INPUT_2D[Unique ID],0)),"")</f>
        <v>4802.6229999999996</v>
      </c>
      <c r="D157" s="66">
        <f>_xlfn.IFNA(INDEX(Table_INPUT_2D[Z],MATCH(Table8[[#This Row],[UID]],Table_INPUT_2D[Unique ID],0)),"")</f>
        <v>214.339</v>
      </c>
      <c r="E157" s="65" t="s">
        <v>268</v>
      </c>
      <c r="G157" s="2" t="str">
        <f>IF($A$157 &lt;&gt; "",$A$157, "")</f>
        <v>MR9050</v>
      </c>
      <c r="H157" s="2">
        <f>IF($B$157 &lt;&gt; "",$B$157, "")</f>
        <v>10719.048000000001</v>
      </c>
      <c r="I157" s="2">
        <f>IF($C$157 &lt;&gt; "",$C$157, "")</f>
        <v>4802.6229999999996</v>
      </c>
      <c r="J157" s="2">
        <f>IF($D$157 &lt;&gt; "",$D$157, "")</f>
        <v>214.339</v>
      </c>
      <c r="K157">
        <f>AVERAGE($H$157,$H$158)</f>
        <v>10719.047500000001</v>
      </c>
      <c r="L157">
        <f>AVERAGE($I$157,$I$158)</f>
        <v>4802.6219999999994</v>
      </c>
      <c r="M157">
        <f>AVERAGE($J$157,$J$158)</f>
        <v>214.33850000000001</v>
      </c>
      <c r="N157"/>
      <c r="O157" s="56">
        <f>$O$155+($N$156)</f>
        <v>133.16518801652902</v>
      </c>
      <c r="P157"/>
      <c r="Q157"/>
      <c r="R157"/>
      <c r="S157"/>
      <c r="T157"/>
      <c r="U157"/>
      <c r="V157" s="156"/>
      <c r="W157" s="157" t="s">
        <v>618</v>
      </c>
      <c r="X157" s="160">
        <v>8</v>
      </c>
      <c r="Y157" s="77">
        <f>O363</f>
        <v>143.75768801652899</v>
      </c>
      <c r="Z157" s="203">
        <f>$X$23*($X$157/$X$158)+$Z$148</f>
        <v>-2.1701388886525349E-4</v>
      </c>
      <c r="AA157" s="162">
        <f t="shared" si="3"/>
        <v>143.75790503041785</v>
      </c>
      <c r="AB157" s="163">
        <f>P364</f>
        <v>17.904476039526816</v>
      </c>
      <c r="AC157" s="164" t="s">
        <v>618</v>
      </c>
      <c r="AD157" s="165">
        <v>8</v>
      </c>
      <c r="AE157" s="163">
        <f t="shared" si="4"/>
        <v>143.75790503041785</v>
      </c>
      <c r="AF157" s="203">
        <f>$AD$23*($AD$157/$AD$158)+$AF$148</f>
        <v>1.7943999655292388E-2</v>
      </c>
      <c r="AG157" s="162">
        <f t="shared" si="5"/>
        <v>143.73996103076254</v>
      </c>
      <c r="AH157" s="163">
        <f t="shared" si="6"/>
        <v>17.904476039526816</v>
      </c>
      <c r="AI157" s="148"/>
      <c r="AJ157" s="57" t="s">
        <v>683</v>
      </c>
      <c r="AK157" s="147">
        <f t="shared" si="2"/>
        <v>136.58369197658442</v>
      </c>
      <c r="AL157" s="147">
        <f t="shared" si="7"/>
        <v>22.734572972678802</v>
      </c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 s="67" t="s">
        <v>113</v>
      </c>
      <c r="B158" s="66">
        <f>_xlfn.IFNA(INDEX(Table_INPUT_2D[X],MATCH(Table8[[#This Row],[UID]],Table_INPUT_2D[Unique ID],0)),"")</f>
        <v>10719.047</v>
      </c>
      <c r="C158" s="66">
        <f>_xlfn.IFNA(INDEX(Table_INPUT_2D[Y],MATCH(Table8[[#This Row],[UID]],Table_INPUT_2D[Unique ID],0)),"")</f>
        <v>4802.6210000000001</v>
      </c>
      <c r="D158" s="66">
        <f>_xlfn.IFNA(INDEX(Table_INPUT_2D[Z],MATCH(Table8[[#This Row],[UID]],Table_INPUT_2D[Unique ID],0)),"")</f>
        <v>214.33799999999999</v>
      </c>
      <c r="E158" s="65" t="s">
        <v>269</v>
      </c>
      <c r="G158" s="2" t="str">
        <f>IF($A$158 &lt;&gt; "",$A$158, "")</f>
        <v>MR9050</v>
      </c>
      <c r="H158" s="2">
        <f>IF($B$158 &lt;&gt; "",$B$158, "")</f>
        <v>10719.047</v>
      </c>
      <c r="I158" s="2">
        <f>IF($C$158 &lt;&gt; "",$C$158, "")</f>
        <v>4802.6210000000001</v>
      </c>
      <c r="J158" s="2">
        <f>IF($D$158 &lt;&gt; "",$D$158, "")</f>
        <v>214.33799999999999</v>
      </c>
      <c r="K158"/>
      <c r="L158"/>
      <c r="M158"/>
      <c r="N158">
        <f>$M$159-$M$157</f>
        <v>0.77150000000000318</v>
      </c>
      <c r="O158" s="56"/>
      <c r="P158">
        <f>SQRT(($K$159-$K$157)^2 +($L$159-$L$157)^2)</f>
        <v>17.839652918428484</v>
      </c>
      <c r="Q158"/>
      <c r="R158"/>
      <c r="S158"/>
      <c r="T158"/>
      <c r="U158"/>
      <c r="V158" s="156"/>
      <c r="W158" s="157" t="s">
        <v>621</v>
      </c>
      <c r="X158" s="160">
        <v>9</v>
      </c>
      <c r="Y158" s="77">
        <f>O365</f>
        <v>143.27018801652898</v>
      </c>
      <c r="Z158" s="203">
        <f>$X$23*($X$158/$X$158)+$Z$148</f>
        <v>-2.187499999761755E-4</v>
      </c>
      <c r="AA158" s="162">
        <f t="shared" si="3"/>
        <v>143.27040676652896</v>
      </c>
      <c r="AB158" s="163">
        <f>P374</f>
        <v>21.586810984951136</v>
      </c>
      <c r="AC158" s="164" t="s">
        <v>621</v>
      </c>
      <c r="AD158" s="165">
        <v>9</v>
      </c>
      <c r="AE158" s="163">
        <f t="shared" si="4"/>
        <v>143.27040676652896</v>
      </c>
      <c r="AF158" s="203">
        <f>$AD$23*($AD$158/$AD$158)+$AF$148</f>
        <v>1.8087551652534728E-2</v>
      </c>
      <c r="AG158" s="162">
        <f t="shared" si="5"/>
        <v>143.25231921487642</v>
      </c>
      <c r="AH158" s="163">
        <f t="shared" si="6"/>
        <v>21.586810984951136</v>
      </c>
      <c r="AI158" s="148"/>
      <c r="AJ158" s="57" t="s">
        <v>686</v>
      </c>
      <c r="AK158" s="147">
        <f t="shared" si="2"/>
        <v>136.9685501606983</v>
      </c>
      <c r="AL158" s="147">
        <f t="shared" ref="AL158:AL159" si="8">IF(VLOOKUP($AJ158,$AC$28:$AH$179,6,)=0,"",VLOOKUP($AJ158,$AC$28:$AH$179,6,))</f>
        <v>21.032878981488963</v>
      </c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 s="67" t="s">
        <v>114</v>
      </c>
      <c r="B159" s="66">
        <f>_xlfn.IFNA(INDEX(Table_INPUT_2D[X],MATCH(Table8[[#This Row],[UID]],Table_INPUT_2D[Unique ID],0)),"")</f>
        <v>10736.012000000001</v>
      </c>
      <c r="C159" s="66">
        <f>_xlfn.IFNA(INDEX(Table_INPUT_2D[Y],MATCH(Table8[[#This Row],[UID]],Table_INPUT_2D[Unique ID],0)),"")</f>
        <v>4797.1009999999997</v>
      </c>
      <c r="D159" s="66">
        <f>_xlfn.IFNA(INDEX(Table_INPUT_2D[Z],MATCH(Table8[[#This Row],[UID]],Table_INPUT_2D[Unique ID],0)),"")</f>
        <v>215.10900000000001</v>
      </c>
      <c r="E159" s="65" t="s">
        <v>270</v>
      </c>
      <c r="G159" s="2" t="str">
        <f>IF($A$159 &lt;&gt; "",$A$159, "")</f>
        <v>MR9051</v>
      </c>
      <c r="H159" s="2">
        <f>IF($B$159 &lt;&gt; "",$B$159, "")</f>
        <v>10736.012000000001</v>
      </c>
      <c r="I159" s="2">
        <f>IF($C$159 &lt;&gt; "",$C$159, "")</f>
        <v>4797.1009999999997</v>
      </c>
      <c r="J159" s="2">
        <f>IF($D$159 &lt;&gt; "",$D$159, "")</f>
        <v>215.10900000000001</v>
      </c>
      <c r="K159">
        <f>AVERAGE($H$159,$H$160)</f>
        <v>10736.011500000001</v>
      </c>
      <c r="L159">
        <f>AVERAGE($I$159,$I$160)</f>
        <v>4797.1014999999998</v>
      </c>
      <c r="M159">
        <f>AVERAGE($J$159,$J$160)</f>
        <v>215.11</v>
      </c>
      <c r="N159"/>
      <c r="O159" s="56">
        <f>$O$157+($N$158)</f>
        <v>133.93668801652902</v>
      </c>
      <c r="P159"/>
      <c r="Q159"/>
      <c r="R159"/>
      <c r="S159"/>
      <c r="T159"/>
      <c r="U159"/>
      <c r="V159" s="156"/>
      <c r="W159" s="157"/>
      <c r="X159" s="160"/>
      <c r="Y159" s="77"/>
      <c r="Z159" s="204"/>
      <c r="AA159" s="157"/>
      <c r="AB159" s="167"/>
      <c r="AC159" s="168"/>
      <c r="AD159" s="168"/>
      <c r="AE159" s="163"/>
      <c r="AF159" s="202"/>
      <c r="AG159" s="147"/>
      <c r="AH159" s="163"/>
      <c r="AI159" s="148"/>
      <c r="AJ159" s="57" t="s">
        <v>689</v>
      </c>
      <c r="AK159" s="147">
        <f t="shared" si="2"/>
        <v>137.10590834481215</v>
      </c>
      <c r="AL159" s="147">
        <f t="shared" si="8"/>
        <v>15.372608269256416</v>
      </c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 s="67" t="s">
        <v>114</v>
      </c>
      <c r="B160" s="66">
        <f>_xlfn.IFNA(INDEX(Table_INPUT_2D[X],MATCH(Table8[[#This Row],[UID]],Table_INPUT_2D[Unique ID],0)),"")</f>
        <v>10736.011</v>
      </c>
      <c r="C160" s="66">
        <f>_xlfn.IFNA(INDEX(Table_INPUT_2D[Y],MATCH(Table8[[#This Row],[UID]],Table_INPUT_2D[Unique ID],0)),"")</f>
        <v>4797.1019999999999</v>
      </c>
      <c r="D160" s="66">
        <f>_xlfn.IFNA(INDEX(Table_INPUT_2D[Z],MATCH(Table8[[#This Row],[UID]],Table_INPUT_2D[Unique ID],0)),"")</f>
        <v>215.11099999999999</v>
      </c>
      <c r="E160" s="65" t="s">
        <v>271</v>
      </c>
      <c r="G160" s="2" t="str">
        <f>IF($A$160 &lt;&gt; "",$A$160, "")</f>
        <v>MR9051</v>
      </c>
      <c r="H160" s="2">
        <f>IF($B$160 &lt;&gt; "",$B$160, "")</f>
        <v>10736.011</v>
      </c>
      <c r="I160" s="2">
        <f>IF($C$160 &lt;&gt; "",$C$160, "")</f>
        <v>4797.1019999999999</v>
      </c>
      <c r="J160" s="2">
        <f>IF($D$160 &lt;&gt; "",$D$160, "")</f>
        <v>215.11099999999999</v>
      </c>
      <c r="K160"/>
      <c r="L160"/>
      <c r="M160"/>
      <c r="N160">
        <f>$M$161-$M$159</f>
        <v>0.875</v>
      </c>
      <c r="O160" s="56"/>
      <c r="P160">
        <f>SQRT(($K$161-$K$159)^2 +($L$161-$L$159)^2)</f>
        <v>20.910568649607981</v>
      </c>
      <c r="Q160"/>
      <c r="R160"/>
      <c r="S160"/>
      <c r="T160"/>
      <c r="U160"/>
      <c r="V160" s="156">
        <v>15</v>
      </c>
      <c r="W160" s="157" t="s">
        <v>631</v>
      </c>
      <c r="X160" s="160">
        <v>1</v>
      </c>
      <c r="Y160" s="77">
        <f>O375</f>
        <v>142.61418801652897</v>
      </c>
      <c r="Z160" s="203">
        <f>$X$23*($X$160/$X$169)+$Z$158</f>
        <v>-2.2031249997600533E-4</v>
      </c>
      <c r="AA160" s="162">
        <f t="shared" si="3"/>
        <v>142.61440832902895</v>
      </c>
      <c r="AB160" s="163">
        <f>P376</f>
        <v>19.165991651882639</v>
      </c>
      <c r="AC160" s="164" t="s">
        <v>631</v>
      </c>
      <c r="AD160" s="165">
        <v>1</v>
      </c>
      <c r="AE160" s="163">
        <f t="shared" si="4"/>
        <v>142.61440832902895</v>
      </c>
      <c r="AF160" s="203">
        <f>$AD$23*($AD$160/$AD$169)+$AF$158</f>
        <v>1.8216748450052833E-2</v>
      </c>
      <c r="AG160" s="162">
        <f t="shared" si="5"/>
        <v>142.5961915805789</v>
      </c>
      <c r="AH160" s="163">
        <f t="shared" si="6"/>
        <v>19.165991651882639</v>
      </c>
      <c r="AI160" s="148"/>
      <c r="AJ160" s="57" t="s">
        <v>692</v>
      </c>
      <c r="AK160" s="147">
        <f t="shared" si="2"/>
        <v>137.06626652892601</v>
      </c>
      <c r="AL160" s="147" t="str">
        <f>IF(VLOOKUP($AJ160,$AC$28:$AH$179,6,)=0,"",VLOOKUP($AJ160,$AC$28:$AH$179,6,))</f>
        <v/>
      </c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 s="67" t="s">
        <v>115</v>
      </c>
      <c r="B161" s="66">
        <f>_xlfn.IFNA(INDEX(Table_INPUT_2D[X],MATCH(Table8[[#This Row],[UID]],Table_INPUT_2D[Unique ID],0)),"")</f>
        <v>10755.947</v>
      </c>
      <c r="C161" s="66">
        <f>_xlfn.IFNA(INDEX(Table_INPUT_2D[Y],MATCH(Table8[[#This Row],[UID]],Table_INPUT_2D[Unique ID],0)),"")</f>
        <v>4790.7910000000002</v>
      </c>
      <c r="D161" s="66">
        <f>_xlfn.IFNA(INDEX(Table_INPUT_2D[Z],MATCH(Table8[[#This Row],[UID]],Table_INPUT_2D[Unique ID],0)),"")</f>
        <v>215.98699999999999</v>
      </c>
      <c r="E161" s="65" t="s">
        <v>272</v>
      </c>
      <c r="G161" s="2" t="str">
        <f>IF($A$161 &lt;&gt; "",$A$161, "")</f>
        <v>MR9052</v>
      </c>
      <c r="H161" s="2">
        <f>IF($B$161 &lt;&gt; "",$B$161, "")</f>
        <v>10755.947</v>
      </c>
      <c r="I161" s="2">
        <f>IF($C$161 &lt;&gt; "",$C$161, "")</f>
        <v>4790.7910000000002</v>
      </c>
      <c r="J161" s="2">
        <f>IF($D$161 &lt;&gt; "",$D$161, "")</f>
        <v>215.98699999999999</v>
      </c>
      <c r="K161">
        <f>AVERAGE($H$161,$H$162)</f>
        <v>10755.9465</v>
      </c>
      <c r="L161">
        <f>AVERAGE($I$161,$I$162)</f>
        <v>4790.7890000000007</v>
      </c>
      <c r="M161">
        <f>AVERAGE($J$161,$J$162)</f>
        <v>215.98500000000001</v>
      </c>
      <c r="N161"/>
      <c r="O161" s="56">
        <f>$O$159+($N$160)</f>
        <v>134.81168801652902</v>
      </c>
      <c r="P161"/>
      <c r="Q161"/>
      <c r="R161"/>
      <c r="S161"/>
      <c r="T161"/>
      <c r="U161"/>
      <c r="V161" s="156"/>
      <c r="W161" s="157" t="s">
        <v>634</v>
      </c>
      <c r="X161" s="160">
        <v>2</v>
      </c>
      <c r="Y161" s="77">
        <f>O377</f>
        <v>141.93268801652897</v>
      </c>
      <c r="Z161" s="203">
        <f>$X$23*($X$161/$X$169)+$Z$158</f>
        <v>-2.2187499997583515E-4</v>
      </c>
      <c r="AA161" s="162">
        <f t="shared" si="3"/>
        <v>141.93290989152894</v>
      </c>
      <c r="AB161" s="163">
        <f>P378</f>
        <v>21.729180955571511</v>
      </c>
      <c r="AC161" s="164" t="s">
        <v>634</v>
      </c>
      <c r="AD161" s="165">
        <v>2</v>
      </c>
      <c r="AE161" s="163">
        <f t="shared" si="4"/>
        <v>141.93290989152894</v>
      </c>
      <c r="AF161" s="203">
        <f>$AD$23*($AD$161/$AD$169)+$AF$158</f>
        <v>1.8345945247570938E-2</v>
      </c>
      <c r="AG161" s="162">
        <f t="shared" si="5"/>
        <v>141.91456394628136</v>
      </c>
      <c r="AH161" s="163">
        <f t="shared" si="6"/>
        <v>21.729180955571511</v>
      </c>
      <c r="AI161" s="148"/>
      <c r="AJ161" s="148"/>
      <c r="AK161" s="148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 s="67" t="s">
        <v>115</v>
      </c>
      <c r="B162" s="66">
        <f>_xlfn.IFNA(INDEX(Table_INPUT_2D[X],MATCH(Table8[[#This Row],[UID]],Table_INPUT_2D[Unique ID],0)),"")</f>
        <v>10755.946</v>
      </c>
      <c r="C162" s="66">
        <f>_xlfn.IFNA(INDEX(Table_INPUT_2D[Y],MATCH(Table8[[#This Row],[UID]],Table_INPUT_2D[Unique ID],0)),"")</f>
        <v>4790.7870000000003</v>
      </c>
      <c r="D162" s="66">
        <f>_xlfn.IFNA(INDEX(Table_INPUT_2D[Z],MATCH(Table8[[#This Row],[UID]],Table_INPUT_2D[Unique ID],0)),"")</f>
        <v>215.983</v>
      </c>
      <c r="E162" s="65" t="s">
        <v>273</v>
      </c>
      <c r="G162" s="2" t="str">
        <f>IF($A$162 &lt;&gt; "",$A$162, "")</f>
        <v>MR9052</v>
      </c>
      <c r="H162" s="2">
        <f>IF($B$162 &lt;&gt; "",$B$162, "")</f>
        <v>10755.946</v>
      </c>
      <c r="I162" s="2">
        <f>IF($C$162 &lt;&gt; "",$C$162, "")</f>
        <v>4790.7870000000003</v>
      </c>
      <c r="J162" s="2">
        <f>IF($D$162 &lt;&gt; "",$D$162, "")</f>
        <v>215.983</v>
      </c>
      <c r="K162"/>
      <c r="L162"/>
      <c r="M162"/>
      <c r="N162"/>
      <c r="O162" s="56"/>
      <c r="P162"/>
      <c r="Q162"/>
      <c r="R162"/>
      <c r="S162"/>
      <c r="T162"/>
      <c r="U162"/>
      <c r="V162" s="156"/>
      <c r="W162" s="157" t="s">
        <v>637</v>
      </c>
      <c r="X162" s="160">
        <v>3</v>
      </c>
      <c r="Y162" s="77">
        <f>O379</f>
        <v>141.24118801652898</v>
      </c>
      <c r="Z162" s="203">
        <f>$X$23*($X$162/$X$169)+$Z$158</f>
        <v>-2.2343749997566498E-4</v>
      </c>
      <c r="AA162" s="162">
        <f t="shared" si="3"/>
        <v>141.24141145402896</v>
      </c>
      <c r="AB162" s="163">
        <f>P380</f>
        <v>17.49616367235895</v>
      </c>
      <c r="AC162" s="164" t="s">
        <v>637</v>
      </c>
      <c r="AD162" s="165">
        <v>3</v>
      </c>
      <c r="AE162" s="163">
        <f t="shared" si="4"/>
        <v>141.24141145402896</v>
      </c>
      <c r="AF162" s="203">
        <f>$AD$23*($AD$162/$AD$169)+$AF$158</f>
        <v>1.8475142045089044E-2</v>
      </c>
      <c r="AG162" s="162">
        <f t="shared" si="5"/>
        <v>141.22293631198389</v>
      </c>
      <c r="AH162" s="163">
        <f t="shared" si="6"/>
        <v>17.49616367235895</v>
      </c>
      <c r="AI162" s="148"/>
      <c r="AJ162" s="148"/>
      <c r="AK162" s="148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 s="63" t="s">
        <v>21</v>
      </c>
      <c r="B163" s="66" t="str">
        <f>_xlfn.IFNA(INDEX(Table_INPUT_2D[X],MATCH(Table8[[#This Row],[UID]],Table_INPUT_2D[Unique ID],0)),"")</f>
        <v/>
      </c>
      <c r="C163" s="66" t="str">
        <f>_xlfn.IFNA(INDEX(Table_INPUT_2D[Y],MATCH(Table8[[#This Row],[UID]],Table_INPUT_2D[Unique ID],0)),"")</f>
        <v/>
      </c>
      <c r="D163" s="66" t="str">
        <f>_xlfn.IFNA(INDEX(Table_INPUT_2D[Z],MATCH(Table8[[#This Row],[UID]],Table_INPUT_2D[Unique ID],0)),"")</f>
        <v/>
      </c>
      <c r="E163" s="65"/>
      <c r="G163" s="2" t="str">
        <f>IF($A$163 &lt;&gt; "",$A$163, "")</f>
        <v>CLOSE</v>
      </c>
      <c r="H163" s="2" t="str">
        <f>IF($B$163 &lt;&gt; "",$B$163, "")</f>
        <v/>
      </c>
      <c r="I163" s="2" t="str">
        <f>IF($C$163 &lt;&gt; "",$C$163, "")</f>
        <v/>
      </c>
      <c r="J163" s="2" t="str">
        <f>IF($D$163 &lt;&gt; "",$D$163, "")</f>
        <v/>
      </c>
      <c r="K163"/>
      <c r="L163"/>
      <c r="M163"/>
      <c r="N163"/>
      <c r="O163" s="56"/>
      <c r="P163"/>
      <c r="Q163"/>
      <c r="R163"/>
      <c r="S163"/>
      <c r="T163"/>
      <c r="U163"/>
      <c r="V163" s="156"/>
      <c r="W163" s="157" t="s">
        <v>640</v>
      </c>
      <c r="X163" s="160">
        <v>4</v>
      </c>
      <c r="Y163" s="77">
        <f>O381</f>
        <v>140.82918801652897</v>
      </c>
      <c r="Z163" s="203">
        <f>$X$23*($X$163/$X$169)+$Z$158</f>
        <v>-2.249999999754948E-4</v>
      </c>
      <c r="AA163" s="162">
        <f t="shared" si="3"/>
        <v>140.82941301652895</v>
      </c>
      <c r="AB163" s="163">
        <f>P382</f>
        <v>20.933333728769902</v>
      </c>
      <c r="AC163" s="164" t="s">
        <v>640</v>
      </c>
      <c r="AD163" s="165">
        <v>4</v>
      </c>
      <c r="AE163" s="163">
        <f t="shared" si="4"/>
        <v>140.82941301652895</v>
      </c>
      <c r="AF163" s="203">
        <f>$AD$23*($AD$163/$AD$169)+$AF$158</f>
        <v>1.8604338842607149E-2</v>
      </c>
      <c r="AG163" s="162">
        <f t="shared" si="5"/>
        <v>140.81080867768634</v>
      </c>
      <c r="AH163" s="163">
        <f t="shared" si="6"/>
        <v>20.933333728769902</v>
      </c>
      <c r="AI163" s="148"/>
      <c r="AJ163" s="148"/>
      <c r="AK163" s="148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 s="67" t="s">
        <v>105</v>
      </c>
      <c r="B164" s="66">
        <f>_xlfn.IFNA(INDEX(Table_INPUT_2D[X],MATCH(Table8[[#This Row],[UID]],Table_INPUT_2D[Unique ID],0)),"")</f>
        <v>10565.698</v>
      </c>
      <c r="C164" s="66">
        <f>_xlfn.IFNA(INDEX(Table_INPUT_2D[Y],MATCH(Table8[[#This Row],[UID]],Table_INPUT_2D[Unique ID],0)),"")</f>
        <v>4850.8810000000003</v>
      </c>
      <c r="D164" s="66">
        <f>_xlfn.IFNA(INDEX(Table_INPUT_2D[Z],MATCH(Table8[[#This Row],[UID]],Table_INPUT_2D[Unique ID],0)),"")</f>
        <v>209.334</v>
      </c>
      <c r="E164" s="65" t="s">
        <v>252</v>
      </c>
      <c r="G164" s="2" t="str">
        <f>IF($A$164 &lt;&gt; "",$A$164, "")</f>
        <v>MR9042</v>
      </c>
      <c r="H164" s="2">
        <f>IF($B$164 &lt;&gt; "",$B$164, "")</f>
        <v>10565.698</v>
      </c>
      <c r="I164" s="2">
        <f>IF($C$164 &lt;&gt; "",$C$164, "")</f>
        <v>4850.8810000000003</v>
      </c>
      <c r="J164" s="2">
        <f>IF($D$164 &lt;&gt; "",$D$164, "")</f>
        <v>209.334</v>
      </c>
      <c r="K164">
        <f>AVERAGE($H$164,$H$165)</f>
        <v>10565.6975</v>
      </c>
      <c r="L164">
        <f>AVERAGE($I$164,$I$165)</f>
        <v>4850.88</v>
      </c>
      <c r="M164">
        <f>AVERAGE($J$164,$J$165)</f>
        <v>209.3365</v>
      </c>
      <c r="N164"/>
      <c r="O164" s="56">
        <f>$O$166+(-$N$165)</f>
        <v>128.16718801652905</v>
      </c>
      <c r="P164"/>
      <c r="Q164"/>
      <c r="R164"/>
      <c r="S164"/>
      <c r="T164"/>
      <c r="U164"/>
      <c r="V164" s="156"/>
      <c r="W164" s="157" t="s">
        <v>643</v>
      </c>
      <c r="X164" s="160">
        <v>5</v>
      </c>
      <c r="Y164" s="77">
        <f>O383</f>
        <v>140.34218801652898</v>
      </c>
      <c r="Z164" s="203">
        <f>$X$23*($X$164/$X$169)+$Z$158</f>
        <v>-2.2656249997532463E-4</v>
      </c>
      <c r="AA164" s="162">
        <f t="shared" si="3"/>
        <v>140.34241457902897</v>
      </c>
      <c r="AB164" s="163">
        <f>P384</f>
        <v>20.477958351603757</v>
      </c>
      <c r="AC164" s="164" t="s">
        <v>643</v>
      </c>
      <c r="AD164" s="165">
        <v>5</v>
      </c>
      <c r="AE164" s="163">
        <f t="shared" si="4"/>
        <v>140.34241457902897</v>
      </c>
      <c r="AF164" s="203">
        <f>$AD$23*($AD$164/$AD$169)+$AF$158</f>
        <v>1.8733535640125254E-2</v>
      </c>
      <c r="AG164" s="162">
        <f t="shared" si="5"/>
        <v>140.32368104338883</v>
      </c>
      <c r="AH164" s="163">
        <f t="shared" si="6"/>
        <v>20.477958351603757</v>
      </c>
      <c r="AI164" s="148"/>
      <c r="AJ164" s="148"/>
      <c r="AK164" s="148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 s="67" t="s">
        <v>105</v>
      </c>
      <c r="B165" s="66">
        <f>_xlfn.IFNA(INDEX(Table_INPUT_2D[X],MATCH(Table8[[#This Row],[UID]],Table_INPUT_2D[Unique ID],0)),"")</f>
        <v>10565.697</v>
      </c>
      <c r="C165" s="66">
        <f>_xlfn.IFNA(INDEX(Table_INPUT_2D[Y],MATCH(Table8[[#This Row],[UID]],Table_INPUT_2D[Unique ID],0)),"")</f>
        <v>4850.8789999999999</v>
      </c>
      <c r="D165" s="66">
        <f>_xlfn.IFNA(INDEX(Table_INPUT_2D[Z],MATCH(Table8[[#This Row],[UID]],Table_INPUT_2D[Unique ID],0)),"")</f>
        <v>209.339</v>
      </c>
      <c r="E165" s="65" t="s">
        <v>253</v>
      </c>
      <c r="G165" s="2" t="str">
        <f>IF($A$165 &lt;&gt; "",$A$165, "")</f>
        <v>MR9042</v>
      </c>
      <c r="H165" s="2">
        <f>IF($B$165 &lt;&gt; "",$B$165, "")</f>
        <v>10565.697</v>
      </c>
      <c r="I165" s="2">
        <f>IF($C$165 &lt;&gt; "",$C$165, "")</f>
        <v>4850.8789999999999</v>
      </c>
      <c r="J165" s="2">
        <f>IF($D$165 &lt;&gt; "",$D$165, "")</f>
        <v>209.339</v>
      </c>
      <c r="K165"/>
      <c r="L165"/>
      <c r="M165"/>
      <c r="N165">
        <f>$M$166-$M$164</f>
        <v>6.6474999999999795</v>
      </c>
      <c r="O165" s="56"/>
      <c r="P165">
        <f>SQRT(($K$166-$K$164)^2 +($L$166-$L$164)^2)</f>
        <v>199.5135594420837</v>
      </c>
      <c r="Q165"/>
      <c r="R165"/>
      <c r="S165"/>
      <c r="T165"/>
      <c r="U165"/>
      <c r="V165" s="156"/>
      <c r="W165" s="157" t="s">
        <v>646</v>
      </c>
      <c r="X165" s="160">
        <v>6</v>
      </c>
      <c r="Y165" s="77">
        <f>O385</f>
        <v>140.04168801652898</v>
      </c>
      <c r="Z165" s="203">
        <f>$X$23*($X$165/$X$169)+$Z$158</f>
        <v>-2.2812499997515445E-4</v>
      </c>
      <c r="AA165" s="162">
        <f t="shared" si="3"/>
        <v>140.04191614152896</v>
      </c>
      <c r="AB165" s="163">
        <f>P386</f>
        <v>20.414319545356516</v>
      </c>
      <c r="AC165" s="164" t="s">
        <v>646</v>
      </c>
      <c r="AD165" s="165">
        <v>6</v>
      </c>
      <c r="AE165" s="163">
        <f t="shared" si="4"/>
        <v>140.04191614152896</v>
      </c>
      <c r="AF165" s="203">
        <f>$AD$23*($AD$165/$AD$169)+$AF$158</f>
        <v>1.8862732437643359E-2</v>
      </c>
      <c r="AG165" s="162">
        <f t="shared" si="5"/>
        <v>140.02305340909132</v>
      </c>
      <c r="AH165" s="163">
        <f t="shared" si="6"/>
        <v>20.414319545356516</v>
      </c>
      <c r="AI165" s="148"/>
      <c r="AJ165" s="148"/>
      <c r="AK165" s="148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 s="67" t="s">
        <v>115</v>
      </c>
      <c r="B166" s="66">
        <f>_xlfn.IFNA(INDEX(Table_INPUT_2D[X],MATCH(Table8[[#This Row],[UID]],Table_INPUT_2D[Unique ID],0)),"")</f>
        <v>10755.946</v>
      </c>
      <c r="C166" s="66">
        <f>_xlfn.IFNA(INDEX(Table_INPUT_2D[Y],MATCH(Table8[[#This Row],[UID]],Table_INPUT_2D[Unique ID],0)),"")</f>
        <v>4790.7860000000001</v>
      </c>
      <c r="D166" s="66">
        <f>_xlfn.IFNA(INDEX(Table_INPUT_2D[Z],MATCH(Table8[[#This Row],[UID]],Table_INPUT_2D[Unique ID],0)),"")</f>
        <v>215.982</v>
      </c>
      <c r="E166" s="65" t="s">
        <v>274</v>
      </c>
      <c r="G166" s="2" t="str">
        <f>IF($A$166 &lt;&gt; "",$A$166, "")</f>
        <v>MR9052</v>
      </c>
      <c r="H166" s="2">
        <f>IF($B$166 &lt;&gt; "",$B$166, "")</f>
        <v>10755.946</v>
      </c>
      <c r="I166" s="2">
        <f>IF($C$166 &lt;&gt; "",$C$166, "")</f>
        <v>4790.7860000000001</v>
      </c>
      <c r="J166" s="2">
        <f>IF($D$166 &lt;&gt; "",$D$166, "")</f>
        <v>215.982</v>
      </c>
      <c r="K166">
        <f>AVERAGE($H$166,$H$167)</f>
        <v>10755.946</v>
      </c>
      <c r="L166">
        <f>AVERAGE($I$166,$I$167)</f>
        <v>4790.7870000000003</v>
      </c>
      <c r="M166">
        <f>AVERAGE($J$166,$J$167)</f>
        <v>215.98399999999998</v>
      </c>
      <c r="N166"/>
      <c r="O166" s="56">
        <f>$O$188</f>
        <v>134.81468801652903</v>
      </c>
      <c r="P166"/>
      <c r="Q166"/>
      <c r="R166"/>
      <c r="S166"/>
      <c r="T166"/>
      <c r="U166"/>
      <c r="V166" s="156"/>
      <c r="W166" s="157" t="s">
        <v>649</v>
      </c>
      <c r="X166" s="160">
        <v>7</v>
      </c>
      <c r="Y166" s="77">
        <f>O387</f>
        <v>139.88818801652897</v>
      </c>
      <c r="Z166" s="203">
        <f>$X$23*($X$166/$X$169)+$Z$158</f>
        <v>-2.2968749997498428E-4</v>
      </c>
      <c r="AA166" s="162">
        <f t="shared" si="3"/>
        <v>139.88841770402894</v>
      </c>
      <c r="AB166" s="163">
        <f>P388</f>
        <v>20.281552171864018</v>
      </c>
      <c r="AC166" s="164" t="s">
        <v>649</v>
      </c>
      <c r="AD166" s="165">
        <v>7</v>
      </c>
      <c r="AE166" s="163">
        <f t="shared" si="4"/>
        <v>139.88841770402894</v>
      </c>
      <c r="AF166" s="203">
        <f>$AD$23*($AD$166/$AD$169)+$AF$158</f>
        <v>1.8991929235161464E-2</v>
      </c>
      <c r="AG166" s="162">
        <f t="shared" si="5"/>
        <v>139.86942577479377</v>
      </c>
      <c r="AH166" s="163">
        <f t="shared" si="6"/>
        <v>20.281552171864018</v>
      </c>
      <c r="AI166" s="148"/>
      <c r="AJ166" s="148"/>
      <c r="AK166" s="148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 s="67" t="s">
        <v>115</v>
      </c>
      <c r="B167" s="66">
        <f>_xlfn.IFNA(INDEX(Table_INPUT_2D[X],MATCH(Table8[[#This Row],[UID]],Table_INPUT_2D[Unique ID],0)),"")</f>
        <v>10755.946</v>
      </c>
      <c r="C167" s="66">
        <f>_xlfn.IFNA(INDEX(Table_INPUT_2D[Y],MATCH(Table8[[#This Row],[UID]],Table_INPUT_2D[Unique ID],0)),"")</f>
        <v>4790.7879999999996</v>
      </c>
      <c r="D167" s="66">
        <f>_xlfn.IFNA(INDEX(Table_INPUT_2D[Z],MATCH(Table8[[#This Row],[UID]],Table_INPUT_2D[Unique ID],0)),"")</f>
        <v>215.98599999999999</v>
      </c>
      <c r="E167" s="65" t="s">
        <v>275</v>
      </c>
      <c r="G167" s="2" t="str">
        <f>IF($A$167 &lt;&gt; "",$A$167, "")</f>
        <v>MR9052</v>
      </c>
      <c r="H167" s="2">
        <f>IF($B$167 &lt;&gt; "",$B$167, "")</f>
        <v>10755.946</v>
      </c>
      <c r="I167" s="2">
        <f>IF($C$167 &lt;&gt; "",$C$167, "")</f>
        <v>4790.7879999999996</v>
      </c>
      <c r="J167" s="2">
        <f>IF($D$167 &lt;&gt; "",$D$167, "")</f>
        <v>215.98599999999999</v>
      </c>
      <c r="K167"/>
      <c r="L167"/>
      <c r="M167"/>
      <c r="N167"/>
      <c r="O167" s="56"/>
      <c r="P167"/>
      <c r="Q167"/>
      <c r="R167"/>
      <c r="S167"/>
      <c r="T167"/>
      <c r="U167"/>
      <c r="V167" s="156"/>
      <c r="W167" s="157" t="s">
        <v>652</v>
      </c>
      <c r="X167" s="160">
        <v>8</v>
      </c>
      <c r="Y167" s="77">
        <f>O389</f>
        <v>139.85768801652898</v>
      </c>
      <c r="Z167" s="203">
        <f>$X$23*($X$167/$X$169)+$Z$158</f>
        <v>-2.312499999748141E-4</v>
      </c>
      <c r="AA167" s="162">
        <f t="shared" si="3"/>
        <v>139.85791926652897</v>
      </c>
      <c r="AB167" s="163">
        <f>P390</f>
        <v>20.476226068297045</v>
      </c>
      <c r="AC167" s="164" t="s">
        <v>652</v>
      </c>
      <c r="AD167" s="165">
        <v>8</v>
      </c>
      <c r="AE167" s="163">
        <f t="shared" si="4"/>
        <v>139.85791926652897</v>
      </c>
      <c r="AF167" s="203">
        <f>$AD$23*($AD$167/$AD$169)+$AF$158</f>
        <v>1.912112603267957E-2</v>
      </c>
      <c r="AG167" s="162">
        <f t="shared" si="5"/>
        <v>139.83879814049629</v>
      </c>
      <c r="AH167" s="163">
        <f t="shared" si="6"/>
        <v>20.476226068297045</v>
      </c>
      <c r="AI167" s="148"/>
      <c r="AJ167" s="148"/>
      <c r="AK167" s="148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 s="63" t="s">
        <v>22</v>
      </c>
      <c r="B168" s="66" t="str">
        <f>_xlfn.IFNA(INDEX(Table_INPUT_2D[X],MATCH(Table8[[#This Row],[UID]],Table_INPUT_2D[Unique ID],0)),"")</f>
        <v/>
      </c>
      <c r="C168" s="66" t="str">
        <f>_xlfn.IFNA(INDEX(Table_INPUT_2D[Y],MATCH(Table8[[#This Row],[UID]],Table_INPUT_2D[Unique ID],0)),"")</f>
        <v/>
      </c>
      <c r="D168" s="66" t="str">
        <f>_xlfn.IFNA(INDEX(Table_INPUT_2D[Z],MATCH(Table8[[#This Row],[UID]],Table_INPUT_2D[Unique ID],0)),"")</f>
        <v/>
      </c>
      <c r="E168" s="65"/>
      <c r="G168" s="2" t="str">
        <f>IF($A$168 &lt;&gt; "",$A$168, "")</f>
        <v>STATION</v>
      </c>
      <c r="H168" s="2" t="str">
        <f>IF($B$168 &lt;&gt; "",$B$168, "")</f>
        <v/>
      </c>
      <c r="I168" s="2" t="str">
        <f>IF($C$168 &lt;&gt; "",$C$168, "")</f>
        <v/>
      </c>
      <c r="J168" s="2" t="str">
        <f>IF($D$168 &lt;&gt; "",$D$168, "")</f>
        <v/>
      </c>
      <c r="K168"/>
      <c r="L168"/>
      <c r="M168"/>
      <c r="N168"/>
      <c r="O168" s="56"/>
      <c r="P168"/>
      <c r="Q168"/>
      <c r="R168"/>
      <c r="S168"/>
      <c r="T168"/>
      <c r="U168"/>
      <c r="V168" s="156"/>
      <c r="W168" s="157" t="s">
        <v>655</v>
      </c>
      <c r="X168" s="160">
        <v>9</v>
      </c>
      <c r="Y168" s="77">
        <f>O391</f>
        <v>139.23768801652898</v>
      </c>
      <c r="Z168" s="203">
        <f>$X$23*($X$168/$X$169)+$Z$158</f>
        <v>-2.3281249997464393E-4</v>
      </c>
      <c r="AA168" s="162">
        <f t="shared" si="3"/>
        <v>139.23792082902895</v>
      </c>
      <c r="AB168" s="163">
        <f>P392</f>
        <v>31.221405173374354</v>
      </c>
      <c r="AC168" s="164" t="s">
        <v>655</v>
      </c>
      <c r="AD168" s="165">
        <v>9</v>
      </c>
      <c r="AE168" s="163">
        <f t="shared" si="4"/>
        <v>139.23792082902895</v>
      </c>
      <c r="AF168" s="203">
        <f>$AD$23*($AD$168/$AD$169)+$AF$158</f>
        <v>1.9250322830197675E-2</v>
      </c>
      <c r="AG168" s="162">
        <f t="shared" si="5"/>
        <v>139.21867050619875</v>
      </c>
      <c r="AH168" s="163">
        <f t="shared" si="6"/>
        <v>31.221405173374354</v>
      </c>
      <c r="AI168" s="148"/>
      <c r="AJ168" s="148"/>
      <c r="AK168" s="14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 s="67" t="s">
        <v>115</v>
      </c>
      <c r="B169" s="66">
        <f>_xlfn.IFNA(INDEX(Table_INPUT_2D[X],MATCH(Table8[[#This Row],[UID]],Table_INPUT_2D[Unique ID],0)),"")</f>
        <v>10755.947</v>
      </c>
      <c r="C169" s="66">
        <f>_xlfn.IFNA(INDEX(Table_INPUT_2D[Y],MATCH(Table8[[#This Row],[UID]],Table_INPUT_2D[Unique ID],0)),"")</f>
        <v>4790.7939999999999</v>
      </c>
      <c r="D169" s="66">
        <f>_xlfn.IFNA(INDEX(Table_INPUT_2D[Z],MATCH(Table8[[#This Row],[UID]],Table_INPUT_2D[Unique ID],0)),"")</f>
        <v>215.976</v>
      </c>
      <c r="E169" s="65" t="s">
        <v>276</v>
      </c>
      <c r="G169" s="2" t="str">
        <f>IF($A$169 &lt;&gt; "",$A$169, "")</f>
        <v>MR9052</v>
      </c>
      <c r="H169" s="2">
        <f>IF($B$169 &lt;&gt; "",$B$169, "")</f>
        <v>10755.947</v>
      </c>
      <c r="I169" s="2">
        <f>IF($C$169 &lt;&gt; "",$C$169, "")</f>
        <v>4790.7939999999999</v>
      </c>
      <c r="J169" s="2">
        <f>IF($D$169 &lt;&gt; "",$D$169, "")</f>
        <v>215.976</v>
      </c>
      <c r="K169">
        <f>AVERAGE($H$169,$H$170)</f>
        <v>10755.946</v>
      </c>
      <c r="L169">
        <f>AVERAGE($I$169,$I$170)</f>
        <v>4790.7919999999995</v>
      </c>
      <c r="M169">
        <f>AVERAGE($J$169,$J$170)</f>
        <v>215.976</v>
      </c>
      <c r="N169"/>
      <c r="O169" s="56">
        <f>$O$161</f>
        <v>134.81168801652902</v>
      </c>
      <c r="P169"/>
      <c r="Q169"/>
      <c r="R169"/>
      <c r="S169"/>
      <c r="T169"/>
      <c r="U169"/>
      <c r="V169" s="156"/>
      <c r="W169" s="157" t="s">
        <v>658</v>
      </c>
      <c r="X169" s="160">
        <v>10</v>
      </c>
      <c r="Y169" s="77">
        <f>O393</f>
        <v>139.27218801652896</v>
      </c>
      <c r="Z169" s="203">
        <f>$X$23*($X$169/$X$169)+$Z$158</f>
        <v>-2.3437499997447375E-4</v>
      </c>
      <c r="AA169" s="162">
        <f t="shared" si="3"/>
        <v>139.27242239152892</v>
      </c>
      <c r="AB169" s="163">
        <f>P402</f>
        <v>18.913448898864917</v>
      </c>
      <c r="AC169" s="164" t="s">
        <v>658</v>
      </c>
      <c r="AD169" s="165">
        <v>10</v>
      </c>
      <c r="AE169" s="163">
        <f t="shared" si="4"/>
        <v>139.27242239152892</v>
      </c>
      <c r="AF169" s="203">
        <f>$AD$23*($AD$169/$AD$169)+$AF$158</f>
        <v>1.937951962771578E-2</v>
      </c>
      <c r="AG169" s="162">
        <f t="shared" si="5"/>
        <v>139.25304287190121</v>
      </c>
      <c r="AH169" s="163">
        <f t="shared" si="6"/>
        <v>18.913448898864917</v>
      </c>
      <c r="AI169" s="148"/>
      <c r="AJ169" s="148"/>
      <c r="AK169" s="148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 s="67" t="s">
        <v>115</v>
      </c>
      <c r="B170" s="66">
        <f>_xlfn.IFNA(INDEX(Table_INPUT_2D[X],MATCH(Table8[[#This Row],[UID]],Table_INPUT_2D[Unique ID],0)),"")</f>
        <v>10755.945</v>
      </c>
      <c r="C170" s="66">
        <f>_xlfn.IFNA(INDEX(Table_INPUT_2D[Y],MATCH(Table8[[#This Row],[UID]],Table_INPUT_2D[Unique ID],0)),"")</f>
        <v>4790.79</v>
      </c>
      <c r="D170" s="66">
        <f>_xlfn.IFNA(INDEX(Table_INPUT_2D[Z],MATCH(Table8[[#This Row],[UID]],Table_INPUT_2D[Unique ID],0)),"")</f>
        <v>215.976</v>
      </c>
      <c r="E170" s="65" t="s">
        <v>277</v>
      </c>
      <c r="G170" s="2" t="str">
        <f>IF($A$170 &lt;&gt; "",$A$170, "")</f>
        <v>MR9052</v>
      </c>
      <c r="H170" s="2">
        <f>IF($B$170 &lt;&gt; "",$B$170, "")</f>
        <v>10755.945</v>
      </c>
      <c r="I170" s="2">
        <f>IF($C$170 &lt;&gt; "",$C$170, "")</f>
        <v>4790.79</v>
      </c>
      <c r="J170" s="2">
        <f>IF($D$170 &lt;&gt; "",$D$170, "")</f>
        <v>215.976</v>
      </c>
      <c r="K170"/>
      <c r="L170"/>
      <c r="M170"/>
      <c r="N170">
        <f>$M$171-$M$169</f>
        <v>0.84499999999999886</v>
      </c>
      <c r="O170" s="56"/>
      <c r="P170">
        <f>SQRT(($K$171-$K$169)^2 +($L$171-$L$169)^2)</f>
        <v>20.862941097792728</v>
      </c>
      <c r="Q170"/>
      <c r="R170"/>
      <c r="S170"/>
      <c r="T170"/>
      <c r="U170"/>
      <c r="V170" s="156"/>
      <c r="W170" s="157"/>
      <c r="X170" s="160"/>
      <c r="Y170" s="168"/>
      <c r="Z170" s="204"/>
      <c r="AA170" s="157"/>
      <c r="AB170" s="167"/>
      <c r="AC170" s="168"/>
      <c r="AD170" s="168"/>
      <c r="AE170" s="163"/>
      <c r="AF170" s="202"/>
      <c r="AG170" s="147"/>
      <c r="AH170" s="163"/>
      <c r="AI170" s="148"/>
      <c r="AJ170" s="148"/>
      <c r="AK170" s="148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 s="67" t="s">
        <v>116</v>
      </c>
      <c r="B171" s="66">
        <f>_xlfn.IFNA(INDEX(Table_INPUT_2D[X],MATCH(Table8[[#This Row],[UID]],Table_INPUT_2D[Unique ID],0)),"")</f>
        <v>10775.808999999999</v>
      </c>
      <c r="C171" s="66">
        <f>_xlfn.IFNA(INDEX(Table_INPUT_2D[Y],MATCH(Table8[[#This Row],[UID]],Table_INPUT_2D[Unique ID],0)),"")</f>
        <v>4784.4110000000001</v>
      </c>
      <c r="D171" s="66">
        <f>_xlfn.IFNA(INDEX(Table_INPUT_2D[Z],MATCH(Table8[[#This Row],[UID]],Table_INPUT_2D[Unique ID],0)),"")</f>
        <v>216.81899999999999</v>
      </c>
      <c r="E171" s="65" t="s">
        <v>280</v>
      </c>
      <c r="G171" s="2" t="str">
        <f>IF($A$171 &lt;&gt; "",$A$171, "")</f>
        <v>MR9053</v>
      </c>
      <c r="H171" s="2">
        <f>IF($B$171 &lt;&gt; "",$B$171, "")</f>
        <v>10775.808999999999</v>
      </c>
      <c r="I171" s="2">
        <f>IF($C$171 &lt;&gt; "",$C$171, "")</f>
        <v>4784.4110000000001</v>
      </c>
      <c r="J171" s="2">
        <f>IF($D$171 &lt;&gt; "",$D$171, "")</f>
        <v>216.81899999999999</v>
      </c>
      <c r="K171">
        <f>AVERAGE($H$171,$H$172)</f>
        <v>10775.808999999999</v>
      </c>
      <c r="L171">
        <f>AVERAGE($I$171,$I$172)</f>
        <v>4784.4105</v>
      </c>
      <c r="M171">
        <f>AVERAGE($J$171,$J$172)</f>
        <v>216.821</v>
      </c>
      <c r="N171"/>
      <c r="O171" s="56">
        <f>$O$169+($N$170)</f>
        <v>135.65668801652902</v>
      </c>
      <c r="P171"/>
      <c r="Q171"/>
      <c r="R171"/>
      <c r="S171"/>
      <c r="T171"/>
      <c r="U171"/>
      <c r="V171" s="156">
        <v>16</v>
      </c>
      <c r="W171" s="157" t="s">
        <v>668</v>
      </c>
      <c r="X171" s="160">
        <v>1</v>
      </c>
      <c r="Y171" s="77">
        <f>O403</f>
        <v>138.99868801652894</v>
      </c>
      <c r="Z171" s="203">
        <f>$X$23*($X$171/$X$179)+$Z$169</f>
        <v>-2.3611111108539577E-4</v>
      </c>
      <c r="AA171" s="162">
        <f t="shared" si="3"/>
        <v>138.99892412764004</v>
      </c>
      <c r="AB171" s="163">
        <f>P404</f>
        <v>22.080450221860485</v>
      </c>
      <c r="AC171" s="164" t="s">
        <v>668</v>
      </c>
      <c r="AD171" s="165">
        <v>1</v>
      </c>
      <c r="AE171" s="163">
        <f t="shared" si="4"/>
        <v>138.99892412764004</v>
      </c>
      <c r="AF171" s="203">
        <f>$AD$23*($AD$171/$AD$179)+$AF$169</f>
        <v>1.9523071624958119E-2</v>
      </c>
      <c r="AG171" s="162">
        <f t="shared" si="5"/>
        <v>138.97940105601509</v>
      </c>
      <c r="AH171" s="163">
        <f t="shared" si="6"/>
        <v>22.080450221860485</v>
      </c>
      <c r="AI171" s="148"/>
      <c r="AJ171" s="148"/>
      <c r="AK171" s="148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 s="67" t="s">
        <v>116</v>
      </c>
      <c r="B172" s="66">
        <f>_xlfn.IFNA(INDEX(Table_INPUT_2D[X],MATCH(Table8[[#This Row],[UID]],Table_INPUT_2D[Unique ID],0)),"")</f>
        <v>10775.808999999999</v>
      </c>
      <c r="C172" s="66">
        <f>_xlfn.IFNA(INDEX(Table_INPUT_2D[Y],MATCH(Table8[[#This Row],[UID]],Table_INPUT_2D[Unique ID],0)),"")</f>
        <v>4784.41</v>
      </c>
      <c r="D172" s="66">
        <f>_xlfn.IFNA(INDEX(Table_INPUT_2D[Z],MATCH(Table8[[#This Row],[UID]],Table_INPUT_2D[Unique ID],0)),"")</f>
        <v>216.82300000000001</v>
      </c>
      <c r="E172" s="65" t="s">
        <v>281</v>
      </c>
      <c r="G172" s="2" t="str">
        <f>IF($A$172 &lt;&gt; "",$A$172, "")</f>
        <v>MR9053</v>
      </c>
      <c r="H172" s="2">
        <f>IF($B$172 &lt;&gt; "",$B$172, "")</f>
        <v>10775.808999999999</v>
      </c>
      <c r="I172" s="2">
        <f>IF($C$172 &lt;&gt; "",$C$172, "")</f>
        <v>4784.41</v>
      </c>
      <c r="J172" s="2">
        <f>IF($D$172 &lt;&gt; "",$D$172, "")</f>
        <v>216.82300000000001</v>
      </c>
      <c r="K172"/>
      <c r="L172"/>
      <c r="M172"/>
      <c r="N172">
        <f>$M$173-$M$171</f>
        <v>0.61299999999999955</v>
      </c>
      <c r="O172" s="56"/>
      <c r="P172">
        <f>SQRT(($K$173-$K$171)^2 +($L$173-$L$171)^2)</f>
        <v>20.658613125039473</v>
      </c>
      <c r="Q172"/>
      <c r="R172"/>
      <c r="S172"/>
      <c r="T172"/>
      <c r="U172"/>
      <c r="V172" s="156"/>
      <c r="W172" s="157" t="s">
        <v>671</v>
      </c>
      <c r="X172" s="160">
        <v>2</v>
      </c>
      <c r="Y172" s="77">
        <f>O405</f>
        <v>137.64318801652894</v>
      </c>
      <c r="Z172" s="203">
        <f>$X$23*($X$172/$X$179)+$Z$169</f>
        <v>-2.3784722219631781E-4</v>
      </c>
      <c r="AA172" s="162">
        <f t="shared" si="3"/>
        <v>137.64342586375113</v>
      </c>
      <c r="AB172" s="163">
        <f>P406</f>
        <v>18.942264978084946</v>
      </c>
      <c r="AC172" s="164" t="s">
        <v>671</v>
      </c>
      <c r="AD172" s="165">
        <v>2</v>
      </c>
      <c r="AE172" s="163">
        <f t="shared" si="4"/>
        <v>137.64342586375113</v>
      </c>
      <c r="AF172" s="203">
        <f>$AD$23*($AD$172/$AD$179)+$AF$169</f>
        <v>1.9666623622200459E-2</v>
      </c>
      <c r="AG172" s="162">
        <f t="shared" si="5"/>
        <v>137.62375924012892</v>
      </c>
      <c r="AH172" s="163">
        <f t="shared" si="6"/>
        <v>18.942264978084946</v>
      </c>
      <c r="AI172" s="148"/>
      <c r="AJ172" s="148"/>
      <c r="AK172" s="148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 s="67" t="s">
        <v>117</v>
      </c>
      <c r="B173" s="66">
        <f>_xlfn.IFNA(INDEX(Table_INPUT_2D[X],MATCH(Table8[[#This Row],[UID]],Table_INPUT_2D[Unique ID],0)),"")</f>
        <v>10795.486000000001</v>
      </c>
      <c r="C173" s="66">
        <f>_xlfn.IFNA(INDEX(Table_INPUT_2D[Y],MATCH(Table8[[#This Row],[UID]],Table_INPUT_2D[Unique ID],0)),"")</f>
        <v>4778.1170000000002</v>
      </c>
      <c r="D173" s="66">
        <f>_xlfn.IFNA(INDEX(Table_INPUT_2D[Z],MATCH(Table8[[#This Row],[UID]],Table_INPUT_2D[Unique ID],0)),"")</f>
        <v>217.43299999999999</v>
      </c>
      <c r="E173" s="65" t="s">
        <v>282</v>
      </c>
      <c r="G173" s="2" t="str">
        <f>IF($A$173 &lt;&gt; "",$A$173, "")</f>
        <v>MR9054</v>
      </c>
      <c r="H173" s="2">
        <f>IF($B$173 &lt;&gt; "",$B$173, "")</f>
        <v>10795.486000000001</v>
      </c>
      <c r="I173" s="2">
        <f>IF($C$173 &lt;&gt; "",$C$173, "")</f>
        <v>4778.1170000000002</v>
      </c>
      <c r="J173" s="2">
        <f>IF($D$173 &lt;&gt; "",$D$173, "")</f>
        <v>217.43299999999999</v>
      </c>
      <c r="K173">
        <f>AVERAGE($H$173,$H$174)</f>
        <v>10795.485000000001</v>
      </c>
      <c r="L173">
        <f>AVERAGE($I$173,$I$174)</f>
        <v>4778.1149999999998</v>
      </c>
      <c r="M173">
        <f>AVERAGE($J$173,$J$174)</f>
        <v>217.434</v>
      </c>
      <c r="N173"/>
      <c r="O173" s="56">
        <f>$O$171+($N$172)</f>
        <v>136.26968801652902</v>
      </c>
      <c r="P173"/>
      <c r="Q173"/>
      <c r="R173"/>
      <c r="S173"/>
      <c r="T173"/>
      <c r="U173"/>
      <c r="V173" s="156"/>
      <c r="W173" s="157" t="s">
        <v>674</v>
      </c>
      <c r="X173" s="160">
        <v>3</v>
      </c>
      <c r="Y173" s="77">
        <f>O407</f>
        <v>137.20168801652895</v>
      </c>
      <c r="Z173" s="203">
        <f>$X$23*($X$173/$X$179)+$Z$169</f>
        <v>-2.3958333330723983E-4</v>
      </c>
      <c r="AA173" s="162">
        <f t="shared" si="3"/>
        <v>137.20192759986224</v>
      </c>
      <c r="AB173" s="163">
        <f>P408</f>
        <v>20.031275652089185</v>
      </c>
      <c r="AC173" s="164" t="s">
        <v>674</v>
      </c>
      <c r="AD173" s="165">
        <v>3</v>
      </c>
      <c r="AE173" s="163">
        <f t="shared" si="4"/>
        <v>137.20192759986224</v>
      </c>
      <c r="AF173" s="203">
        <f>$AD$23*($AD$173/$AD$179)+$AF$169</f>
        <v>1.9810175619442798E-2</v>
      </c>
      <c r="AG173" s="162">
        <f t="shared" si="5"/>
        <v>137.18211742424279</v>
      </c>
      <c r="AH173" s="163">
        <f t="shared" si="6"/>
        <v>20.031275652089185</v>
      </c>
      <c r="AI173" s="148"/>
      <c r="AJ173" s="148"/>
      <c r="AK173" s="148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 s="67" t="s">
        <v>117</v>
      </c>
      <c r="B174" s="66">
        <f>_xlfn.IFNA(INDEX(Table_INPUT_2D[X],MATCH(Table8[[#This Row],[UID]],Table_INPUT_2D[Unique ID],0)),"")</f>
        <v>10795.484</v>
      </c>
      <c r="C174" s="66">
        <f>_xlfn.IFNA(INDEX(Table_INPUT_2D[Y],MATCH(Table8[[#This Row],[UID]],Table_INPUT_2D[Unique ID],0)),"")</f>
        <v>4778.1130000000003</v>
      </c>
      <c r="D174" s="66">
        <f>_xlfn.IFNA(INDEX(Table_INPUT_2D[Z],MATCH(Table8[[#This Row],[UID]],Table_INPUT_2D[Unique ID],0)),"")</f>
        <v>217.435</v>
      </c>
      <c r="E174" s="65" t="s">
        <v>283</v>
      </c>
      <c r="G174" s="2" t="str">
        <f>IF($A$174 &lt;&gt; "",$A$174, "")</f>
        <v>MR9054</v>
      </c>
      <c r="H174" s="2">
        <f>IF($B$174 &lt;&gt; "",$B$174, "")</f>
        <v>10795.484</v>
      </c>
      <c r="I174" s="2">
        <f>IF($C$174 &lt;&gt; "",$C$174, "")</f>
        <v>4778.1130000000003</v>
      </c>
      <c r="J174" s="2">
        <f>IF($D$174 &lt;&gt; "",$D$174, "")</f>
        <v>217.435</v>
      </c>
      <c r="K174"/>
      <c r="L174"/>
      <c r="M174"/>
      <c r="N174">
        <f>$M$175-$M$173</f>
        <v>0.66749999999998977</v>
      </c>
      <c r="O174" s="56"/>
      <c r="P174">
        <f>SQRT(($K$175-$K$173)^2 +($L$175-$L$173)^2)</f>
        <v>17.864393307638235</v>
      </c>
      <c r="Q174"/>
      <c r="R174"/>
      <c r="S174"/>
      <c r="T174"/>
      <c r="U174"/>
      <c r="V174" s="156"/>
      <c r="W174" s="157" t="s">
        <v>677</v>
      </c>
      <c r="X174" s="160">
        <v>4</v>
      </c>
      <c r="Y174" s="77">
        <f>O409</f>
        <v>136.94268801652896</v>
      </c>
      <c r="Z174" s="203">
        <f>$X$23*($X$174/$X$179)+$Z$169</f>
        <v>-2.4131944441816187E-4</v>
      </c>
      <c r="AA174" s="162">
        <f t="shared" si="3"/>
        <v>136.94292933597339</v>
      </c>
      <c r="AB174" s="163">
        <f>P410</f>
        <v>24.520138381542907</v>
      </c>
      <c r="AC174" s="164" t="s">
        <v>677</v>
      </c>
      <c r="AD174" s="165">
        <v>4</v>
      </c>
      <c r="AE174" s="163">
        <f t="shared" si="4"/>
        <v>136.94292933597339</v>
      </c>
      <c r="AF174" s="203">
        <f>$AD$23*($AD$174/$AD$179)+$AF$169</f>
        <v>1.9953727616685138E-2</v>
      </c>
      <c r="AG174" s="162">
        <f t="shared" si="5"/>
        <v>136.92297560835669</v>
      </c>
      <c r="AH174" s="163">
        <f t="shared" si="6"/>
        <v>24.520138381542907</v>
      </c>
      <c r="AI174" s="148"/>
      <c r="AJ174" s="148"/>
      <c r="AK174" s="148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 s="67" t="s">
        <v>118</v>
      </c>
      <c r="B175" s="66">
        <f>_xlfn.IFNA(INDEX(Table_INPUT_2D[X],MATCH(Table8[[#This Row],[UID]],Table_INPUT_2D[Unique ID],0)),"")</f>
        <v>10812.511</v>
      </c>
      <c r="C175" s="66">
        <f>_xlfn.IFNA(INDEX(Table_INPUT_2D[Y],MATCH(Table8[[#This Row],[UID]],Table_INPUT_2D[Unique ID],0)),"")</f>
        <v>4772.7060000000001</v>
      </c>
      <c r="D175" s="66">
        <f>_xlfn.IFNA(INDEX(Table_INPUT_2D[Z],MATCH(Table8[[#This Row],[UID]],Table_INPUT_2D[Unique ID],0)),"")</f>
        <v>218.102</v>
      </c>
      <c r="E175" s="65" t="s">
        <v>284</v>
      </c>
      <c r="G175" s="2" t="str">
        <f>IF($A$175 &lt;&gt; "",$A$175, "")</f>
        <v>MR9055</v>
      </c>
      <c r="H175" s="2">
        <f>IF($B$175 &lt;&gt; "",$B$175, "")</f>
        <v>10812.511</v>
      </c>
      <c r="I175" s="2">
        <f>IF($C$175 &lt;&gt; "",$C$175, "")</f>
        <v>4772.7060000000001</v>
      </c>
      <c r="J175" s="2">
        <f>IF($D$175 &lt;&gt; "",$D$175, "")</f>
        <v>218.102</v>
      </c>
      <c r="K175">
        <f>AVERAGE($H$175,$H$176)</f>
        <v>10812.511</v>
      </c>
      <c r="L175">
        <f>AVERAGE($I$175,$I$176)</f>
        <v>4772.7065000000002</v>
      </c>
      <c r="M175">
        <f>AVERAGE($J$175,$J$176)</f>
        <v>218.10149999999999</v>
      </c>
      <c r="N175"/>
      <c r="O175" s="56">
        <f>$O$173+($N$174)</f>
        <v>136.93718801652901</v>
      </c>
      <c r="P175"/>
      <c r="Q175"/>
      <c r="R175"/>
      <c r="S175"/>
      <c r="T175"/>
      <c r="U175"/>
      <c r="V175" s="156"/>
      <c r="W175" s="157" t="s">
        <v>680</v>
      </c>
      <c r="X175" s="160">
        <v>5</v>
      </c>
      <c r="Y175" s="77">
        <f>O411</f>
        <v>136.94468801652897</v>
      </c>
      <c r="Z175" s="203">
        <f>$X$23*($X$175/$X$179)+$Z$169</f>
        <v>-2.4305555552908389E-4</v>
      </c>
      <c r="AA175" s="162">
        <f t="shared" si="3"/>
        <v>136.9449310720845</v>
      </c>
      <c r="AB175" s="163">
        <f>P412</f>
        <v>14.054901929575442</v>
      </c>
      <c r="AC175" s="164" t="s">
        <v>680</v>
      </c>
      <c r="AD175" s="165">
        <v>5</v>
      </c>
      <c r="AE175" s="163">
        <f t="shared" si="4"/>
        <v>136.9449310720845</v>
      </c>
      <c r="AF175" s="203">
        <f>$AD$23*($AD$175/$AD$179)+$AF$169</f>
        <v>2.0097279613927474E-2</v>
      </c>
      <c r="AG175" s="162">
        <f t="shared" si="5"/>
        <v>136.92483379247057</v>
      </c>
      <c r="AH175" s="163">
        <f t="shared" si="6"/>
        <v>14.054901929575442</v>
      </c>
      <c r="AI175" s="148"/>
      <c r="AJ175" s="148"/>
      <c r="AK175" s="148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 s="67" t="s">
        <v>118</v>
      </c>
      <c r="B176" s="66">
        <f>_xlfn.IFNA(INDEX(Table_INPUT_2D[X],MATCH(Table8[[#This Row],[UID]],Table_INPUT_2D[Unique ID],0)),"")</f>
        <v>10812.511</v>
      </c>
      <c r="C176" s="66">
        <f>_xlfn.IFNA(INDEX(Table_INPUT_2D[Y],MATCH(Table8[[#This Row],[UID]],Table_INPUT_2D[Unique ID],0)),"")</f>
        <v>4772.7070000000003</v>
      </c>
      <c r="D176" s="66">
        <f>_xlfn.IFNA(INDEX(Table_INPUT_2D[Z],MATCH(Table8[[#This Row],[UID]],Table_INPUT_2D[Unique ID],0)),"")</f>
        <v>218.101</v>
      </c>
      <c r="E176" s="65" t="s">
        <v>285</v>
      </c>
      <c r="G176" s="2" t="str">
        <f>IF($A$176 &lt;&gt; "",$A$176, "")</f>
        <v>MR9055</v>
      </c>
      <c r="H176" s="2">
        <f>IF($B$176 &lt;&gt; "",$B$176, "")</f>
        <v>10812.511</v>
      </c>
      <c r="I176" s="2">
        <f>IF($C$176 &lt;&gt; "",$C$176, "")</f>
        <v>4772.7070000000003</v>
      </c>
      <c r="J176" s="2">
        <f>IF($D$176 &lt;&gt; "",$D$176, "")</f>
        <v>218.101</v>
      </c>
      <c r="K176"/>
      <c r="L176"/>
      <c r="M176"/>
      <c r="N176">
        <f>$M$177-$M$175</f>
        <v>1.0895000000000152</v>
      </c>
      <c r="O176" s="56"/>
      <c r="P176">
        <f>SQRT(($K$177-$K$175)^2 +($L$177-$L$175)^2)</f>
        <v>20.798589669734348</v>
      </c>
      <c r="Q176"/>
      <c r="R176"/>
      <c r="S176"/>
      <c r="T176"/>
      <c r="U176"/>
      <c r="V176" s="156"/>
      <c r="W176" s="157" t="s">
        <v>683</v>
      </c>
      <c r="X176" s="160">
        <v>6</v>
      </c>
      <c r="Y176" s="77">
        <f>O413</f>
        <v>136.60368801652896</v>
      </c>
      <c r="Z176" s="203">
        <f>$X$23*($X$176/$X$179)+$Z$169</f>
        <v>-2.447916666400059E-4</v>
      </c>
      <c r="AA176" s="162">
        <f t="shared" si="3"/>
        <v>136.60393280819559</v>
      </c>
      <c r="AB176" s="163">
        <f>P414</f>
        <v>22.734572972678802</v>
      </c>
      <c r="AC176" s="164" t="s">
        <v>683</v>
      </c>
      <c r="AD176" s="165">
        <v>6</v>
      </c>
      <c r="AE176" s="163">
        <f t="shared" si="4"/>
        <v>136.60393280819559</v>
      </c>
      <c r="AF176" s="203">
        <f>$AD$23*($AD$176/$AD$179)+$AF$169</f>
        <v>2.0240831611169813E-2</v>
      </c>
      <c r="AG176" s="162">
        <f t="shared" si="5"/>
        <v>136.58369197658442</v>
      </c>
      <c r="AH176" s="163">
        <f t="shared" si="6"/>
        <v>22.734572972678802</v>
      </c>
      <c r="AI176" s="148"/>
      <c r="AJ176" s="148"/>
      <c r="AK176" s="148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 s="67" t="s">
        <v>119</v>
      </c>
      <c r="B177" s="66">
        <f>_xlfn.IFNA(INDEX(Table_INPUT_2D[X],MATCH(Table8[[#This Row],[UID]],Table_INPUT_2D[Unique ID],0)),"")</f>
        <v>10832.285</v>
      </c>
      <c r="C177" s="66">
        <f>_xlfn.IFNA(INDEX(Table_INPUT_2D[Y],MATCH(Table8[[#This Row],[UID]],Table_INPUT_2D[Unique ID],0)),"")</f>
        <v>4766.259</v>
      </c>
      <c r="D177" s="66">
        <f>_xlfn.IFNA(INDEX(Table_INPUT_2D[Z],MATCH(Table8[[#This Row],[UID]],Table_INPUT_2D[Unique ID],0)),"")</f>
        <v>219.191</v>
      </c>
      <c r="E177" s="65" t="s">
        <v>286</v>
      </c>
      <c r="G177" s="2" t="str">
        <f>IF($A$177 &lt;&gt; "",$A$177, "")</f>
        <v>MR9056</v>
      </c>
      <c r="H177" s="2">
        <f>IF($B$177 &lt;&gt; "",$B$177, "")</f>
        <v>10832.285</v>
      </c>
      <c r="I177" s="2">
        <f>IF($C$177 &lt;&gt; "",$C$177, "")</f>
        <v>4766.259</v>
      </c>
      <c r="J177" s="2">
        <f>IF($D$177 &lt;&gt; "",$D$177, "")</f>
        <v>219.191</v>
      </c>
      <c r="K177">
        <f>AVERAGE($H$177,$H$178)</f>
        <v>10832.285</v>
      </c>
      <c r="L177">
        <f>AVERAGE($I$177,$I$178)</f>
        <v>4766.259</v>
      </c>
      <c r="M177">
        <f>AVERAGE($J$177,$J$178)</f>
        <v>219.191</v>
      </c>
      <c r="N177"/>
      <c r="O177" s="56">
        <f>$O$175+($N$176)</f>
        <v>138.02668801652902</v>
      </c>
      <c r="P177"/>
      <c r="Q177"/>
      <c r="R177"/>
      <c r="S177"/>
      <c r="T177"/>
      <c r="U177"/>
      <c r="V177" s="156"/>
      <c r="W177" s="157" t="s">
        <v>686</v>
      </c>
      <c r="X177" s="160">
        <v>7</v>
      </c>
      <c r="Y177" s="77">
        <f>O415</f>
        <v>136.98868801652895</v>
      </c>
      <c r="Z177" s="203">
        <f>$X$23*($X$177/$X$179)+$Z$169</f>
        <v>-2.4652777775092797E-4</v>
      </c>
      <c r="AA177" s="162">
        <f t="shared" si="3"/>
        <v>136.98893454430672</v>
      </c>
      <c r="AB177" s="163">
        <f>P416</f>
        <v>21.032878981488963</v>
      </c>
      <c r="AC177" s="164" t="s">
        <v>686</v>
      </c>
      <c r="AD177" s="165">
        <v>7</v>
      </c>
      <c r="AE177" s="163">
        <f t="shared" si="4"/>
        <v>136.98893454430672</v>
      </c>
      <c r="AF177" s="203">
        <f>$AD$23*($AD$177/$AD$179)+$AF$169</f>
        <v>2.0384383608412153E-2</v>
      </c>
      <c r="AG177" s="162">
        <f t="shared" si="5"/>
        <v>136.9685501606983</v>
      </c>
      <c r="AH177" s="163">
        <f t="shared" si="6"/>
        <v>21.032878981488963</v>
      </c>
      <c r="AI177" s="148"/>
      <c r="AJ177" s="148"/>
      <c r="AK177" s="148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 s="67" t="s">
        <v>119</v>
      </c>
      <c r="B178" s="66">
        <f>_xlfn.IFNA(INDEX(Table_INPUT_2D[X],MATCH(Table8[[#This Row],[UID]],Table_INPUT_2D[Unique ID],0)),"")</f>
        <v>10832.285</v>
      </c>
      <c r="C178" s="66">
        <f>_xlfn.IFNA(INDEX(Table_INPUT_2D[Y],MATCH(Table8[[#This Row],[UID]],Table_INPUT_2D[Unique ID],0)),"")</f>
        <v>4766.259</v>
      </c>
      <c r="D178" s="66">
        <f>_xlfn.IFNA(INDEX(Table_INPUT_2D[Z],MATCH(Table8[[#This Row],[UID]],Table_INPUT_2D[Unique ID],0)),"")</f>
        <v>219.191</v>
      </c>
      <c r="E178" s="65" t="s">
        <v>287</v>
      </c>
      <c r="G178" s="2" t="str">
        <f>IF($A$178 &lt;&gt; "",$A$178, "")</f>
        <v>MR9056</v>
      </c>
      <c r="H178" s="2">
        <f>IF($B$178 &lt;&gt; "",$B$178, "")</f>
        <v>10832.285</v>
      </c>
      <c r="I178" s="2">
        <f>IF($C$178 &lt;&gt; "",$C$178, "")</f>
        <v>4766.259</v>
      </c>
      <c r="J178" s="2">
        <f>IF($D$178 &lt;&gt; "",$D$178, "")</f>
        <v>219.191</v>
      </c>
      <c r="K178"/>
      <c r="L178"/>
      <c r="M178"/>
      <c r="N178">
        <f>$M$179-$M$177</f>
        <v>0.90999999999999659</v>
      </c>
      <c r="O178" s="56"/>
      <c r="P178">
        <f>SQRT(($K$179-$K$177)^2 +($L$179-$L$177)^2)</f>
        <v>20.560995549827034</v>
      </c>
      <c r="Q178"/>
      <c r="R178"/>
      <c r="S178"/>
      <c r="T178"/>
      <c r="U178"/>
      <c r="V178" s="156"/>
      <c r="W178" s="157" t="s">
        <v>689</v>
      </c>
      <c r="X178" s="160">
        <v>8</v>
      </c>
      <c r="Y178" s="77">
        <f>O417</f>
        <v>137.12618801652894</v>
      </c>
      <c r="Z178" s="203">
        <f>$X$23*($X$178/$X$179)+$Z$169</f>
        <v>-2.4826388886184999E-4</v>
      </c>
      <c r="AA178" s="162">
        <f t="shared" si="3"/>
        <v>137.12643628041781</v>
      </c>
      <c r="AB178" s="163">
        <f>P418</f>
        <v>15.372608269256416</v>
      </c>
      <c r="AC178" s="164" t="s">
        <v>689</v>
      </c>
      <c r="AD178" s="165">
        <v>8</v>
      </c>
      <c r="AE178" s="163">
        <f t="shared" si="4"/>
        <v>137.12643628041781</v>
      </c>
      <c r="AF178" s="203">
        <f>$AD$23*($AD$178/$AD$179)+$AF$169</f>
        <v>2.0527935605654492E-2</v>
      </c>
      <c r="AG178" s="162">
        <f t="shared" si="5"/>
        <v>137.10590834481215</v>
      </c>
      <c r="AH178" s="163">
        <f t="shared" si="6"/>
        <v>15.372608269256416</v>
      </c>
      <c r="AI178" s="148"/>
      <c r="AJ178" s="148"/>
      <c r="AK178" s="14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 s="67" t="s">
        <v>120</v>
      </c>
      <c r="B179" s="66">
        <f>_xlfn.IFNA(INDEX(Table_INPUT_2D[X],MATCH(Table8[[#This Row],[UID]],Table_INPUT_2D[Unique ID],0)),"")</f>
        <v>10851.858</v>
      </c>
      <c r="C179" s="66">
        <f>_xlfn.IFNA(INDEX(Table_INPUT_2D[Y],MATCH(Table8[[#This Row],[UID]],Table_INPUT_2D[Unique ID],0)),"")</f>
        <v>4759.9620000000004</v>
      </c>
      <c r="D179" s="66">
        <f>_xlfn.IFNA(INDEX(Table_INPUT_2D[Z],MATCH(Table8[[#This Row],[UID]],Table_INPUT_2D[Unique ID],0)),"")</f>
        <v>220.101</v>
      </c>
      <c r="E179" s="65" t="s">
        <v>288</v>
      </c>
      <c r="G179" s="2" t="str">
        <f>IF($A$179 &lt;&gt; "",$A$179, "")</f>
        <v>MR9057</v>
      </c>
      <c r="H179" s="2">
        <f>IF($B$179 &lt;&gt; "",$B$179, "")</f>
        <v>10851.858</v>
      </c>
      <c r="I179" s="2">
        <f>IF($C$179 &lt;&gt; "",$C$179, "")</f>
        <v>4759.9620000000004</v>
      </c>
      <c r="J179" s="2">
        <f>IF($D$179 &lt;&gt; "",$D$179, "")</f>
        <v>220.101</v>
      </c>
      <c r="K179">
        <f>AVERAGE($H$179,$H$180)</f>
        <v>10851.858</v>
      </c>
      <c r="L179">
        <f>AVERAGE($I$179,$I$180)</f>
        <v>4759.9620000000004</v>
      </c>
      <c r="M179">
        <f>AVERAGE($J$179,$J$180)</f>
        <v>220.101</v>
      </c>
      <c r="N179"/>
      <c r="O179" s="56">
        <f>$O$177+($N$178)</f>
        <v>138.93668801652902</v>
      </c>
      <c r="P179"/>
      <c r="Q179"/>
      <c r="R179"/>
      <c r="S179"/>
      <c r="T179"/>
      <c r="U179"/>
      <c r="V179" s="156"/>
      <c r="W179" s="157" t="s">
        <v>692</v>
      </c>
      <c r="X179" s="160">
        <v>9</v>
      </c>
      <c r="Y179" s="77">
        <f>O419</f>
        <v>137.08668801652894</v>
      </c>
      <c r="Z179" s="203">
        <f>$X$23*($X$179/$X$179)+$Z$169</f>
        <v>-2.49999999972772E-4</v>
      </c>
      <c r="AA179" s="162">
        <f t="shared" si="3"/>
        <v>137.0869380165289</v>
      </c>
      <c r="AB179" s="157"/>
      <c r="AC179" s="164" t="s">
        <v>692</v>
      </c>
      <c r="AD179" s="165">
        <v>9</v>
      </c>
      <c r="AE179" s="163">
        <f t="shared" si="4"/>
        <v>137.0869380165289</v>
      </c>
      <c r="AF179" s="203">
        <f>($AD$23*($AD$179/$AD$179))+$AF$169</f>
        <v>2.0671487602896832E-2</v>
      </c>
      <c r="AG179" s="162">
        <f t="shared" si="5"/>
        <v>137.06626652892601</v>
      </c>
      <c r="AH179" s="163"/>
      <c r="AI179" s="148"/>
      <c r="AJ179" s="148"/>
      <c r="AK179" s="148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 s="67" t="s">
        <v>120</v>
      </c>
      <c r="B180" s="66">
        <f>_xlfn.IFNA(INDEX(Table_INPUT_2D[X],MATCH(Table8[[#This Row],[UID]],Table_INPUT_2D[Unique ID],0)),"")</f>
        <v>10851.858</v>
      </c>
      <c r="C180" s="66">
        <f>_xlfn.IFNA(INDEX(Table_INPUT_2D[Y],MATCH(Table8[[#This Row],[UID]],Table_INPUT_2D[Unique ID],0)),"")</f>
        <v>4759.9620000000004</v>
      </c>
      <c r="D180" s="66">
        <f>_xlfn.IFNA(INDEX(Table_INPUT_2D[Z],MATCH(Table8[[#This Row],[UID]],Table_INPUT_2D[Unique ID],0)),"")</f>
        <v>220.101</v>
      </c>
      <c r="E180" s="65" t="s">
        <v>289</v>
      </c>
      <c r="G180" s="2" t="str">
        <f>IF($A$180 &lt;&gt; "",$A$180, "")</f>
        <v>MR9057</v>
      </c>
      <c r="H180" s="2">
        <f>IF($B$180 &lt;&gt; "",$B$180, "")</f>
        <v>10851.858</v>
      </c>
      <c r="I180" s="2">
        <f>IF($C$180 &lt;&gt; "",$C$180, "")</f>
        <v>4759.9620000000004</v>
      </c>
      <c r="J180" s="2">
        <f>IF($D$180 &lt;&gt; "",$D$180, "")</f>
        <v>220.101</v>
      </c>
      <c r="K180"/>
      <c r="L180"/>
      <c r="M180"/>
      <c r="N180">
        <f>$M$181-$M$179</f>
        <v>0.89400000000000546</v>
      </c>
      <c r="O180" s="56"/>
      <c r="P180">
        <f>SQRT(($K$181-$K$179)^2 +($L$181-$L$179)^2)</f>
        <v>20.542981216221005</v>
      </c>
      <c r="Q180"/>
      <c r="R180"/>
      <c r="S180"/>
      <c r="T180"/>
      <c r="U180"/>
      <c r="V180" s="156"/>
      <c r="W180" s="157"/>
      <c r="X180" s="160"/>
      <c r="Y180" s="77"/>
      <c r="Z180" s="204"/>
      <c r="AA180" s="157"/>
      <c r="AB180" s="157"/>
      <c r="AC180" s="168"/>
      <c r="AD180" s="168"/>
      <c r="AE180" s="164"/>
      <c r="AF180" s="202"/>
      <c r="AG180" s="147"/>
      <c r="AH180" s="164"/>
      <c r="AI180" s="148"/>
      <c r="AJ180" s="148"/>
      <c r="AK180" s="148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 s="67" t="s">
        <v>121</v>
      </c>
      <c r="B181" s="66">
        <f>_xlfn.IFNA(INDEX(Table_INPUT_2D[X],MATCH(Table8[[#This Row],[UID]],Table_INPUT_2D[Unique ID],0)),"")</f>
        <v>10871.447</v>
      </c>
      <c r="C181" s="66">
        <f>_xlfn.IFNA(INDEX(Table_INPUT_2D[Y],MATCH(Table8[[#This Row],[UID]],Table_INPUT_2D[Unique ID],0)),"")</f>
        <v>4753.7740000000003</v>
      </c>
      <c r="D181" s="66">
        <f>_xlfn.IFNA(INDEX(Table_INPUT_2D[Z],MATCH(Table8[[#This Row],[UID]],Table_INPUT_2D[Unique ID],0)),"")</f>
        <v>220.995</v>
      </c>
      <c r="E181" s="65" t="s">
        <v>290</v>
      </c>
      <c r="G181" s="2" t="str">
        <f>IF($A$181 &lt;&gt; "",$A$181, "")</f>
        <v>MR9058</v>
      </c>
      <c r="H181" s="2">
        <f>IF($B$181 &lt;&gt; "",$B$181, "")</f>
        <v>10871.447</v>
      </c>
      <c r="I181" s="2">
        <f>IF($C$181 &lt;&gt; "",$C$181, "")</f>
        <v>4753.7740000000003</v>
      </c>
      <c r="J181" s="2">
        <f>IF($D$181 &lt;&gt; "",$D$181, "")</f>
        <v>220.995</v>
      </c>
      <c r="K181">
        <f>AVERAGE($H$181,$H$182)</f>
        <v>10871.447</v>
      </c>
      <c r="L181">
        <f>AVERAGE($I$181,$I$182)</f>
        <v>4753.7744999999995</v>
      </c>
      <c r="M181">
        <f>AVERAGE($J$181,$J$182)</f>
        <v>220.995</v>
      </c>
      <c r="N181"/>
      <c r="O181" s="56">
        <f>$O$179+($N$180)</f>
        <v>139.83068801652902</v>
      </c>
      <c r="P181"/>
      <c r="Q181"/>
      <c r="R181"/>
      <c r="S181"/>
      <c r="T181"/>
      <c r="U181"/>
      <c r="V181" s="156"/>
      <c r="W181" s="157" t="s">
        <v>658</v>
      </c>
      <c r="X181" s="160">
        <v>1</v>
      </c>
      <c r="Y181" s="77">
        <f>O398</f>
        <v>139.27218801652896</v>
      </c>
      <c r="Z181" s="203">
        <f>$X$23*($X$181/$X$181)+$Z$179</f>
        <v>-2.6562499997107025E-4</v>
      </c>
      <c r="AA181" s="162">
        <f t="shared" si="3"/>
        <v>139.27245364152893</v>
      </c>
      <c r="AB181" s="157"/>
      <c r="AE181" s="164"/>
      <c r="AF181" s="164"/>
      <c r="AG181" s="164"/>
      <c r="AH181" s="164"/>
      <c r="AI181" s="148"/>
      <c r="AJ181" s="148"/>
      <c r="AK181" s="148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 s="67" t="s">
        <v>121</v>
      </c>
      <c r="B182" s="66">
        <f>_xlfn.IFNA(INDEX(Table_INPUT_2D[X],MATCH(Table8[[#This Row],[UID]],Table_INPUT_2D[Unique ID],0)),"")</f>
        <v>10871.447</v>
      </c>
      <c r="C182" s="66">
        <f>_xlfn.IFNA(INDEX(Table_INPUT_2D[Y],MATCH(Table8[[#This Row],[UID]],Table_INPUT_2D[Unique ID],0)),"")</f>
        <v>4753.7749999999996</v>
      </c>
      <c r="D182" s="66">
        <f>_xlfn.IFNA(INDEX(Table_INPUT_2D[Z],MATCH(Table8[[#This Row],[UID]],Table_INPUT_2D[Unique ID],0)),"")</f>
        <v>220.995</v>
      </c>
      <c r="E182" s="65" t="s">
        <v>291</v>
      </c>
      <c r="G182" s="2" t="str">
        <f>IF($A$182 &lt;&gt; "",$A$182, "")</f>
        <v>MR9058</v>
      </c>
      <c r="H182" s="2">
        <f>IF($B$182 &lt;&gt; "",$B$182, "")</f>
        <v>10871.447</v>
      </c>
      <c r="I182" s="2">
        <f>IF($C$182 &lt;&gt; "",$C$182, "")</f>
        <v>4753.7749999999996</v>
      </c>
      <c r="J182" s="2">
        <f>IF($D$182 &lt;&gt; "",$D$182, "")</f>
        <v>220.995</v>
      </c>
      <c r="K182"/>
      <c r="L182"/>
      <c r="M182"/>
      <c r="N182">
        <f>$M$183-$M$181</f>
        <v>1.8145000000000095</v>
      </c>
      <c r="O182" s="56"/>
      <c r="P182">
        <f>SQRT(($K$183-$K$181)^2 +($L$183-$L$181)^2)</f>
        <v>39.631412705075086</v>
      </c>
      <c r="Q182"/>
      <c r="R182"/>
      <c r="S182"/>
      <c r="T182"/>
      <c r="U182"/>
      <c r="V182" s="156"/>
      <c r="W182" s="157"/>
      <c r="X182" s="160"/>
      <c r="Y182" s="77"/>
      <c r="Z182" s="166"/>
      <c r="AA182" s="166"/>
      <c r="AB182" s="157"/>
      <c r="AC182" s="198" t="s">
        <v>755</v>
      </c>
      <c r="AD182" s="199"/>
      <c r="AE182" s="164"/>
      <c r="AF182" s="164"/>
      <c r="AG182" s="164"/>
      <c r="AH182" s="164"/>
      <c r="AI182" s="148"/>
      <c r="AJ182" s="148"/>
      <c r="AK182" s="148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 s="67" t="s">
        <v>122</v>
      </c>
      <c r="B183" s="66">
        <f>_xlfn.IFNA(INDEX(Table_INPUT_2D[X],MATCH(Table8[[#This Row],[UID]],Table_INPUT_2D[Unique ID],0)),"")</f>
        <v>10910.41</v>
      </c>
      <c r="C183" s="66">
        <f>_xlfn.IFNA(INDEX(Table_INPUT_2D[Y],MATCH(Table8[[#This Row],[UID]],Table_INPUT_2D[Unique ID],0)),"")</f>
        <v>4761.0230000000001</v>
      </c>
      <c r="D183" s="66">
        <f>_xlfn.IFNA(INDEX(Table_INPUT_2D[Z],MATCH(Table8[[#This Row],[UID]],Table_INPUT_2D[Unique ID],0)),"")</f>
        <v>222.81</v>
      </c>
      <c r="E183" s="65" t="s">
        <v>292</v>
      </c>
      <c r="G183" s="2" t="str">
        <f>IF($A$183 &lt;&gt; "",$A$183, "")</f>
        <v>MR9059</v>
      </c>
      <c r="H183" s="2">
        <f>IF($B$183 &lt;&gt; "",$B$183, "")</f>
        <v>10910.41</v>
      </c>
      <c r="I183" s="2">
        <f>IF($C$183 &lt;&gt; "",$C$183, "")</f>
        <v>4761.0230000000001</v>
      </c>
      <c r="J183" s="2">
        <f>IF($D$183 &lt;&gt; "",$D$183, "")</f>
        <v>222.81</v>
      </c>
      <c r="K183">
        <f>AVERAGE($H$183,$H$184)</f>
        <v>10910.41</v>
      </c>
      <c r="L183">
        <f>AVERAGE($I$183,$I$184)</f>
        <v>4761.0225</v>
      </c>
      <c r="M183">
        <f>AVERAGE($J$183,$J$184)</f>
        <v>222.80950000000001</v>
      </c>
      <c r="N183"/>
      <c r="O183" s="56">
        <f>$O$181+($N$182)</f>
        <v>141.64518801652903</v>
      </c>
      <c r="P183"/>
      <c r="Q183"/>
      <c r="R183"/>
      <c r="S183"/>
      <c r="T183"/>
      <c r="U183"/>
      <c r="V183" s="156"/>
      <c r="W183" s="157" t="s">
        <v>621</v>
      </c>
      <c r="X183" s="160">
        <v>1</v>
      </c>
      <c r="Y183" s="77">
        <f>O370</f>
        <v>143.27018801652898</v>
      </c>
      <c r="Z183" s="203">
        <f>$X$23*($X$183/$X$183)+$Z$181</f>
        <v>-2.812499999693685E-4</v>
      </c>
      <c r="AA183" s="162">
        <f t="shared" si="3"/>
        <v>143.27046926652895</v>
      </c>
      <c r="AB183" s="157"/>
      <c r="AC183" s="168" t="s">
        <v>38</v>
      </c>
      <c r="AD183" s="168" t="s">
        <v>39</v>
      </c>
      <c r="AE183" s="164" t="s">
        <v>40</v>
      </c>
      <c r="AF183" s="164" t="s">
        <v>41</v>
      </c>
      <c r="AG183" s="22" t="s">
        <v>387</v>
      </c>
      <c r="AH183" s="164" t="s">
        <v>756</v>
      </c>
      <c r="AI183" s="148" t="s">
        <v>757</v>
      </c>
      <c r="AJ183" s="148"/>
      <c r="AK183" s="148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 s="67" t="s">
        <v>122</v>
      </c>
      <c r="B184" s="66">
        <f>_xlfn.IFNA(INDEX(Table_INPUT_2D[X],MATCH(Table8[[#This Row],[UID]],Table_INPUT_2D[Unique ID],0)),"")</f>
        <v>10910.41</v>
      </c>
      <c r="C184" s="66">
        <f>_xlfn.IFNA(INDEX(Table_INPUT_2D[Y],MATCH(Table8[[#This Row],[UID]],Table_INPUT_2D[Unique ID],0)),"")</f>
        <v>4761.0219999999999</v>
      </c>
      <c r="D184" s="66">
        <f>_xlfn.IFNA(INDEX(Table_INPUT_2D[Z],MATCH(Table8[[#This Row],[UID]],Table_INPUT_2D[Unique ID],0)),"")</f>
        <v>222.809</v>
      </c>
      <c r="E184" s="65" t="s">
        <v>293</v>
      </c>
      <c r="G184" s="2" t="str">
        <f>IF($A$184 &lt;&gt; "",$A$184, "")</f>
        <v>MR9059</v>
      </c>
      <c r="H184" s="2">
        <f>IF($B$184 &lt;&gt; "",$B$184, "")</f>
        <v>10910.41</v>
      </c>
      <c r="I184" s="2">
        <f>IF($C$184 &lt;&gt; "",$C$184, "")</f>
        <v>4761.0219999999999</v>
      </c>
      <c r="J184" s="2">
        <f>IF($D$184 &lt;&gt; "",$D$184, "")</f>
        <v>222.809</v>
      </c>
      <c r="K184"/>
      <c r="L184"/>
      <c r="M184"/>
      <c r="N184">
        <f>$M$185-$M$183</f>
        <v>0.61299999999999955</v>
      </c>
      <c r="O184" s="56"/>
      <c r="P184">
        <f>SQRT(($K$185-$K$183)^2 +($L$185-$L$183)^2)</f>
        <v>13.453987438673176</v>
      </c>
      <c r="Q184"/>
      <c r="R184"/>
      <c r="S184"/>
      <c r="T184"/>
      <c r="U184"/>
      <c r="V184" s="156"/>
      <c r="W184" s="157"/>
      <c r="X184" s="160"/>
      <c r="Y184" s="77"/>
      <c r="Z184" s="166"/>
      <c r="AA184" s="166"/>
      <c r="AB184" s="157"/>
      <c r="AC184" s="168" t="s">
        <v>747</v>
      </c>
      <c r="AD184" s="168">
        <f>B439</f>
        <v>5034.6629999999996</v>
      </c>
      <c r="AE184" s="168">
        <f t="shared" ref="AE184:AF184" si="9">C439</f>
        <v>9938.2669999999998</v>
      </c>
      <c r="AF184" s="168">
        <f t="shared" si="9"/>
        <v>196.887</v>
      </c>
      <c r="AG184" s="164">
        <f>AVERAGE(AF184:AF185)</f>
        <v>196.8905</v>
      </c>
      <c r="AH184" s="164"/>
      <c r="AI184" s="152">
        <f>AK159</f>
        <v>137.10590834481215</v>
      </c>
      <c r="AJ184" s="148"/>
      <c r="AK184" s="148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 s="67" t="s">
        <v>123</v>
      </c>
      <c r="B185" s="66">
        <f>_xlfn.IFNA(INDEX(Table_INPUT_2D[X],MATCH(Table8[[#This Row],[UID]],Table_INPUT_2D[Unique ID],0)),"")</f>
        <v>10921.316999999999</v>
      </c>
      <c r="C185" s="66">
        <f>_xlfn.IFNA(INDEX(Table_INPUT_2D[Y],MATCH(Table8[[#This Row],[UID]],Table_INPUT_2D[Unique ID],0)),"")</f>
        <v>4753.1450000000004</v>
      </c>
      <c r="D185" s="66">
        <f>_xlfn.IFNA(INDEX(Table_INPUT_2D[Z],MATCH(Table8[[#This Row],[UID]],Table_INPUT_2D[Unique ID],0)),"")</f>
        <v>223.422</v>
      </c>
      <c r="E185" s="65" t="s">
        <v>294</v>
      </c>
      <c r="G185" s="2" t="str">
        <f>IF($A$185 &lt;&gt; "",$A$185, "")</f>
        <v>MR9060</v>
      </c>
      <c r="H185" s="2">
        <f>IF($B$185 &lt;&gt; "",$B$185, "")</f>
        <v>10921.316999999999</v>
      </c>
      <c r="I185" s="2">
        <f>IF($C$185 &lt;&gt; "",$C$185, "")</f>
        <v>4753.1450000000004</v>
      </c>
      <c r="J185" s="2">
        <f>IF($D$185 &lt;&gt; "",$D$185, "")</f>
        <v>223.422</v>
      </c>
      <c r="K185">
        <f>AVERAGE($H$185,$H$186)</f>
        <v>10921.316999999999</v>
      </c>
      <c r="L185">
        <f>AVERAGE($I$185,$I$186)</f>
        <v>4753.1455000000005</v>
      </c>
      <c r="M185">
        <f>AVERAGE($J$185,$J$186)</f>
        <v>223.42250000000001</v>
      </c>
      <c r="N185"/>
      <c r="O185" s="56">
        <f>$O$183+($N$184)</f>
        <v>142.25818801652903</v>
      </c>
      <c r="P185"/>
      <c r="Q185"/>
      <c r="R185"/>
      <c r="S185"/>
      <c r="T185"/>
      <c r="U185"/>
      <c r="V185" s="156"/>
      <c r="W185" s="157" t="s">
        <v>587</v>
      </c>
      <c r="X185" s="160">
        <v>1</v>
      </c>
      <c r="Y185" s="77">
        <f>O344</f>
        <v>150.16768801652898</v>
      </c>
      <c r="Z185" s="203">
        <f>$X$23*($X$185/$X$185)+$Z$183</f>
        <v>-2.9687499996766675E-4</v>
      </c>
      <c r="AA185" s="162">
        <f t="shared" si="3"/>
        <v>150.16798489152896</v>
      </c>
      <c r="AB185" s="157"/>
      <c r="AC185" s="168" t="s">
        <v>748</v>
      </c>
      <c r="AD185" s="168">
        <f t="shared" ref="AD185:AD192" si="10">B440</f>
        <v>5034.6629999999996</v>
      </c>
      <c r="AE185" s="168">
        <f t="shared" ref="AE185:AE192" si="11">C440</f>
        <v>9938.2659999999996</v>
      </c>
      <c r="AF185" s="168">
        <f t="shared" ref="AF185:AF192" si="12">D440</f>
        <v>196.89400000000001</v>
      </c>
      <c r="AG185" s="164"/>
      <c r="AH185" s="164">
        <f>AG186-AG184</f>
        <v>-5.4499999999990223E-2</v>
      </c>
      <c r="AI185" s="152"/>
      <c r="AJ185" s="148"/>
      <c r="AK185" s="148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 s="67" t="s">
        <v>123</v>
      </c>
      <c r="B186" s="66">
        <f>_xlfn.IFNA(INDEX(Table_INPUT_2D[X],MATCH(Table8[[#This Row],[UID]],Table_INPUT_2D[Unique ID],0)),"")</f>
        <v>10921.316999999999</v>
      </c>
      <c r="C186" s="66">
        <f>_xlfn.IFNA(INDEX(Table_INPUT_2D[Y],MATCH(Table8[[#This Row],[UID]],Table_INPUT_2D[Unique ID],0)),"")</f>
        <v>4753.1459999999997</v>
      </c>
      <c r="D186" s="66">
        <f>_xlfn.IFNA(INDEX(Table_INPUT_2D[Z],MATCH(Table8[[#This Row],[UID]],Table_INPUT_2D[Unique ID],0)),"")</f>
        <v>223.423</v>
      </c>
      <c r="E186" s="65" t="s">
        <v>295</v>
      </c>
      <c r="G186" s="2" t="str">
        <f>IF($A$186 &lt;&gt; "",$A$186, "")</f>
        <v>MR9060</v>
      </c>
      <c r="H186" s="2">
        <f>IF($B$186 &lt;&gt; "",$B$186, "")</f>
        <v>10921.316999999999</v>
      </c>
      <c r="I186" s="2">
        <f>IF($C$186 &lt;&gt; "",$C$186, "")</f>
        <v>4753.1459999999997</v>
      </c>
      <c r="J186" s="2">
        <f>IF($D$186 &lt;&gt; "",$D$186, "")</f>
        <v>223.423</v>
      </c>
      <c r="K186"/>
      <c r="L186"/>
      <c r="M186"/>
      <c r="N186"/>
      <c r="O186" s="56"/>
      <c r="P186"/>
      <c r="Q186"/>
      <c r="R186"/>
      <c r="S186"/>
      <c r="T186"/>
      <c r="U186"/>
      <c r="V186" s="156"/>
      <c r="W186" s="157"/>
      <c r="X186" s="160"/>
      <c r="Y186" s="77"/>
      <c r="Z186" s="166"/>
      <c r="AA186" s="166"/>
      <c r="AB186" s="157"/>
      <c r="AC186" s="168" t="s">
        <v>749</v>
      </c>
      <c r="AD186" s="168">
        <f t="shared" si="10"/>
        <v>5023.451</v>
      </c>
      <c r="AE186" s="168">
        <f t="shared" si="11"/>
        <v>9976.4549999999999</v>
      </c>
      <c r="AF186" s="168">
        <f t="shared" si="12"/>
        <v>196.83500000000001</v>
      </c>
      <c r="AG186" s="164">
        <f>AVERAGE(AF186:AF187)</f>
        <v>196.83600000000001</v>
      </c>
      <c r="AH186" s="164"/>
      <c r="AI186" s="152">
        <f>AI184+AH185</f>
        <v>137.05140834481216</v>
      </c>
      <c r="AJ186" s="148"/>
      <c r="AK186" s="148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 s="63" t="s">
        <v>21</v>
      </c>
      <c r="B187" s="66" t="str">
        <f>_xlfn.IFNA(INDEX(Table_INPUT_2D[X],MATCH(Table8[[#This Row],[UID]],Table_INPUT_2D[Unique ID],0)),"")</f>
        <v/>
      </c>
      <c r="C187" s="66" t="str">
        <f>_xlfn.IFNA(INDEX(Table_INPUT_2D[Y],MATCH(Table8[[#This Row],[UID]],Table_INPUT_2D[Unique ID],0)),"")</f>
        <v/>
      </c>
      <c r="D187" s="66" t="str">
        <f>_xlfn.IFNA(INDEX(Table_INPUT_2D[Z],MATCH(Table8[[#This Row],[UID]],Table_INPUT_2D[Unique ID],0)),"")</f>
        <v/>
      </c>
      <c r="E187" s="65"/>
      <c r="G187" s="2" t="str">
        <f>IF($A$187 &lt;&gt; "",$A$187, "")</f>
        <v>CLOSE</v>
      </c>
      <c r="H187" s="2" t="str">
        <f>IF($B$187 &lt;&gt; "",$B$187, "")</f>
        <v/>
      </c>
      <c r="I187" s="2" t="str">
        <f>IF($C$187 &lt;&gt; "",$C$187, "")</f>
        <v/>
      </c>
      <c r="J187" s="2" t="str">
        <f>IF($D$187 &lt;&gt; "",$D$187, "")</f>
        <v/>
      </c>
      <c r="K187"/>
      <c r="L187"/>
      <c r="M187"/>
      <c r="N187"/>
      <c r="O187" s="56"/>
      <c r="P187"/>
      <c r="Q187"/>
      <c r="R187"/>
      <c r="S187"/>
      <c r="T187"/>
      <c r="U187"/>
      <c r="V187" s="156"/>
      <c r="W187" s="157" t="s">
        <v>544</v>
      </c>
      <c r="X187" s="160">
        <v>1</v>
      </c>
      <c r="Y187" s="77">
        <f>O312</f>
        <v>160.82718801652896</v>
      </c>
      <c r="Z187" s="203">
        <f>$X$23*($X$187/$X$187)+$Z$185</f>
        <v>-3.12499999965965E-4</v>
      </c>
      <c r="AA187" s="162">
        <f t="shared" si="3"/>
        <v>160.82750051652894</v>
      </c>
      <c r="AB187" s="157"/>
      <c r="AC187" s="168" t="s">
        <v>750</v>
      </c>
      <c r="AD187" s="168">
        <f t="shared" si="10"/>
        <v>5023.451</v>
      </c>
      <c r="AE187" s="168">
        <f t="shared" si="11"/>
        <v>9976.4549999999999</v>
      </c>
      <c r="AF187" s="168">
        <f t="shared" si="12"/>
        <v>196.83699999999999</v>
      </c>
      <c r="AG187" s="164"/>
      <c r="AH187" s="164"/>
      <c r="AI187" s="148"/>
      <c r="AJ187" s="148"/>
      <c r="AK187" s="148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 s="67" t="s">
        <v>115</v>
      </c>
      <c r="B188" s="66">
        <f>_xlfn.IFNA(INDEX(Table_INPUT_2D[X],MATCH(Table8[[#This Row],[UID]],Table_INPUT_2D[Unique ID],0)),"")</f>
        <v>10755.945</v>
      </c>
      <c r="C188" s="66">
        <f>_xlfn.IFNA(INDEX(Table_INPUT_2D[Y],MATCH(Table8[[#This Row],[UID]],Table_INPUT_2D[Unique ID],0)),"")</f>
        <v>4790.7910000000002</v>
      </c>
      <c r="D188" s="66">
        <f>_xlfn.IFNA(INDEX(Table_INPUT_2D[Z],MATCH(Table8[[#This Row],[UID]],Table_INPUT_2D[Unique ID],0)),"")</f>
        <v>215.98099999999999</v>
      </c>
      <c r="E188" s="65" t="s">
        <v>278</v>
      </c>
      <c r="G188" s="2" t="str">
        <f>IF($A$188 &lt;&gt; "",$A$188, "")</f>
        <v>MR9052</v>
      </c>
      <c r="H188" s="2">
        <f>IF($B$188 &lt;&gt; "",$B$188, "")</f>
        <v>10755.945</v>
      </c>
      <c r="I188" s="2">
        <f>IF($C$188 &lt;&gt; "",$C$188, "")</f>
        <v>4790.7910000000002</v>
      </c>
      <c r="J188" s="2">
        <f>IF($D$188 &lt;&gt; "",$D$188, "")</f>
        <v>215.98099999999999</v>
      </c>
      <c r="K188">
        <f>AVERAGE($H$188,$H$189)</f>
        <v>10755.9455</v>
      </c>
      <c r="L188">
        <f>AVERAGE($I$188,$I$189)</f>
        <v>4790.7919999999995</v>
      </c>
      <c r="M188">
        <f>AVERAGE($J$188,$J$189)</f>
        <v>215.9795</v>
      </c>
      <c r="N188"/>
      <c r="O188" s="56">
        <f>$O$190+(-$N$189)</f>
        <v>134.81468801652903</v>
      </c>
      <c r="P188"/>
      <c r="Q188"/>
      <c r="R188"/>
      <c r="S188"/>
      <c r="T188"/>
      <c r="U188"/>
      <c r="V188" s="156"/>
      <c r="W188" s="157"/>
      <c r="X188" s="160"/>
      <c r="Y188" s="77"/>
      <c r="Z188" s="166"/>
      <c r="AA188" s="166"/>
      <c r="AB188" s="157"/>
      <c r="AC188" s="168" t="s">
        <v>758</v>
      </c>
      <c r="AD188" s="168"/>
      <c r="AE188" s="168"/>
      <c r="AF188" s="168"/>
      <c r="AG188" s="164"/>
      <c r="AH188" s="164"/>
      <c r="AI188" s="148"/>
      <c r="AJ188" s="148"/>
      <c r="AK188" s="14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 s="67" t="s">
        <v>115</v>
      </c>
      <c r="B189" s="66">
        <f>_xlfn.IFNA(INDEX(Table_INPUT_2D[X],MATCH(Table8[[#This Row],[UID]],Table_INPUT_2D[Unique ID],0)),"")</f>
        <v>10755.946</v>
      </c>
      <c r="C189" s="66">
        <f>_xlfn.IFNA(INDEX(Table_INPUT_2D[Y],MATCH(Table8[[#This Row],[UID]],Table_INPUT_2D[Unique ID],0)),"")</f>
        <v>4790.7929999999997</v>
      </c>
      <c r="D189" s="66">
        <f>_xlfn.IFNA(INDEX(Table_INPUT_2D[Z],MATCH(Table8[[#This Row],[UID]],Table_INPUT_2D[Unique ID],0)),"")</f>
        <v>215.97800000000001</v>
      </c>
      <c r="E189" s="65" t="s">
        <v>279</v>
      </c>
      <c r="G189" s="2" t="str">
        <f>IF($A$189 &lt;&gt; "",$A$189, "")</f>
        <v>MR9052</v>
      </c>
      <c r="H189" s="2">
        <f>IF($B$189 &lt;&gt; "",$B$189, "")</f>
        <v>10755.946</v>
      </c>
      <c r="I189" s="2">
        <f>IF($C$189 &lt;&gt; "",$C$189, "")</f>
        <v>4790.7929999999997</v>
      </c>
      <c r="J189" s="2">
        <f>IF($D$189 &lt;&gt; "",$D$189, "")</f>
        <v>215.97800000000001</v>
      </c>
      <c r="K189"/>
      <c r="L189"/>
      <c r="M189"/>
      <c r="N189">
        <f>$M$190-$M$188</f>
        <v>7.4430000000000121</v>
      </c>
      <c r="O189" s="56"/>
      <c r="P189">
        <f>SQRT(($K$190-$K$188)^2 +($L$190-$L$188)^2)</f>
        <v>169.60240916110325</v>
      </c>
      <c r="Q189"/>
      <c r="R189"/>
      <c r="S189"/>
      <c r="T189"/>
      <c r="U189"/>
      <c r="V189" s="156"/>
      <c r="W189" s="157" t="s">
        <v>500</v>
      </c>
      <c r="X189" s="160">
        <v>1</v>
      </c>
      <c r="Y189" s="77">
        <f>O288</f>
        <v>181.40868801652897</v>
      </c>
      <c r="Z189" s="203">
        <f>$X$23*($X$189/$X$189)+$Z$187</f>
        <v>-3.2812499996426325E-4</v>
      </c>
      <c r="AA189" s="162">
        <f t="shared" si="3"/>
        <v>181.40901614152892</v>
      </c>
      <c r="AB189" s="157"/>
      <c r="AC189" s="168" t="s">
        <v>751</v>
      </c>
      <c r="AD189" s="168">
        <f t="shared" si="10"/>
        <v>5023.451</v>
      </c>
      <c r="AE189" s="168">
        <f t="shared" si="11"/>
        <v>9976.4549999999999</v>
      </c>
      <c r="AF189" s="168">
        <f t="shared" si="12"/>
        <v>196.83699999999999</v>
      </c>
      <c r="AG189" s="164">
        <f>AVERAGE(AF189:AF190)</f>
        <v>196.8355</v>
      </c>
      <c r="AH189" s="164"/>
      <c r="AI189" s="152">
        <f>AI186</f>
        <v>137.05140834481216</v>
      </c>
      <c r="AJ189" s="148"/>
      <c r="AK189" s="148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 s="67" t="s">
        <v>123</v>
      </c>
      <c r="B190" s="66">
        <f>_xlfn.IFNA(INDEX(Table_INPUT_2D[X],MATCH(Table8[[#This Row],[UID]],Table_INPUT_2D[Unique ID],0)),"")</f>
        <v>10921.316999999999</v>
      </c>
      <c r="C190" s="66">
        <f>_xlfn.IFNA(INDEX(Table_INPUT_2D[Y],MATCH(Table8[[#This Row],[UID]],Table_INPUT_2D[Unique ID],0)),"")</f>
        <v>4753.1440000000002</v>
      </c>
      <c r="D190" s="66">
        <f>_xlfn.IFNA(INDEX(Table_INPUT_2D[Z],MATCH(Table8[[#This Row],[UID]],Table_INPUT_2D[Unique ID],0)),"")</f>
        <v>223.423</v>
      </c>
      <c r="E190" s="65" t="s">
        <v>357</v>
      </c>
      <c r="G190" s="2" t="str">
        <f>IF($A$190 &lt;&gt; "",$A$190, "")</f>
        <v>MR9060</v>
      </c>
      <c r="H190" s="2">
        <f>IF($B$190 &lt;&gt; "",$B$190, "")</f>
        <v>10921.316999999999</v>
      </c>
      <c r="I190" s="2">
        <f>IF($C$190 &lt;&gt; "",$C$190, "")</f>
        <v>4753.1440000000002</v>
      </c>
      <c r="J190" s="2">
        <f>IF($D$190 &lt;&gt; "",$D$190, "")</f>
        <v>223.423</v>
      </c>
      <c r="K190">
        <f>AVERAGE($H$190,$H$191)</f>
        <v>10921.316500000001</v>
      </c>
      <c r="L190">
        <f>AVERAGE($I$190,$I$191)</f>
        <v>4753.1435000000001</v>
      </c>
      <c r="M190">
        <f>AVERAGE($J$190,$J$191)</f>
        <v>223.42250000000001</v>
      </c>
      <c r="N190"/>
      <c r="O190" s="56">
        <f>$O$210</f>
        <v>142.25768801652904</v>
      </c>
      <c r="P190"/>
      <c r="Q190"/>
      <c r="R190"/>
      <c r="S190"/>
      <c r="T190"/>
      <c r="U190"/>
      <c r="V190" s="156"/>
      <c r="W190" s="157"/>
      <c r="X190" s="160"/>
      <c r="Y190" s="77"/>
      <c r="Z190" s="166"/>
      <c r="AA190" s="166"/>
      <c r="AB190" s="157"/>
      <c r="AC190" s="168" t="s">
        <v>752</v>
      </c>
      <c r="AD190" s="168">
        <f t="shared" si="10"/>
        <v>5023.451</v>
      </c>
      <c r="AE190" s="168">
        <f t="shared" si="11"/>
        <v>9976.4560000000001</v>
      </c>
      <c r="AF190" s="168">
        <f t="shared" si="12"/>
        <v>196.834</v>
      </c>
      <c r="AG190" s="164"/>
      <c r="AH190" s="164">
        <f>AG191-AG189</f>
        <v>5.5500000000023419E-2</v>
      </c>
      <c r="AI190" s="148"/>
      <c r="AJ190" s="148"/>
      <c r="AK190" s="148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 s="67" t="s">
        <v>123</v>
      </c>
      <c r="B191" s="66">
        <f>_xlfn.IFNA(INDEX(Table_INPUT_2D[X],MATCH(Table8[[#This Row],[UID]],Table_INPUT_2D[Unique ID],0)),"")</f>
        <v>10921.316000000001</v>
      </c>
      <c r="C191" s="66">
        <f>_xlfn.IFNA(INDEX(Table_INPUT_2D[Y],MATCH(Table8[[#This Row],[UID]],Table_INPUT_2D[Unique ID],0)),"")</f>
        <v>4753.143</v>
      </c>
      <c r="D191" s="66">
        <f>_xlfn.IFNA(INDEX(Table_INPUT_2D[Z],MATCH(Table8[[#This Row],[UID]],Table_INPUT_2D[Unique ID],0)),"")</f>
        <v>223.422</v>
      </c>
      <c r="E191" s="65" t="s">
        <v>358</v>
      </c>
      <c r="G191" s="2" t="str">
        <f>IF($A$191 &lt;&gt; "",$A$191, "")</f>
        <v>MR9060</v>
      </c>
      <c r="H191" s="2">
        <f>IF($B$191 &lt;&gt; "",$B$191, "")</f>
        <v>10921.316000000001</v>
      </c>
      <c r="I191" s="2">
        <f>IF($C$191 &lt;&gt; "",$C$191, "")</f>
        <v>4753.143</v>
      </c>
      <c r="J191" s="2">
        <f>IF($D$191 &lt;&gt; "",$D$191, "")</f>
        <v>223.422</v>
      </c>
      <c r="K191"/>
      <c r="L191"/>
      <c r="M191"/>
      <c r="N191"/>
      <c r="O191" s="56"/>
      <c r="P191"/>
      <c r="Q191"/>
      <c r="R191"/>
      <c r="S191"/>
      <c r="T191"/>
      <c r="U191"/>
      <c r="V191" s="156"/>
      <c r="W191" s="157" t="s">
        <v>477</v>
      </c>
      <c r="X191" s="160">
        <v>1</v>
      </c>
      <c r="Y191" s="77">
        <f>O270</f>
        <v>189.35818801652903</v>
      </c>
      <c r="Z191" s="203">
        <f>$X$23*($X$191/$X$191)+$Z$189</f>
        <v>-3.437499999625615E-4</v>
      </c>
      <c r="AA191" s="162">
        <f t="shared" si="3"/>
        <v>189.35853176652898</v>
      </c>
      <c r="AB191" s="157"/>
      <c r="AC191" s="168" t="s">
        <v>753</v>
      </c>
      <c r="AD191" s="168">
        <f t="shared" si="10"/>
        <v>5034.6629999999996</v>
      </c>
      <c r="AE191" s="168">
        <f t="shared" si="11"/>
        <v>9938.2659999999996</v>
      </c>
      <c r="AF191" s="168">
        <f t="shared" si="12"/>
        <v>196.89500000000001</v>
      </c>
      <c r="AG191" s="164">
        <f>AVERAGE(AF191:AF192)</f>
        <v>196.89100000000002</v>
      </c>
      <c r="AH191" s="164"/>
      <c r="AI191" s="152">
        <f>AI189+AH190</f>
        <v>137.10690834481218</v>
      </c>
      <c r="AJ191" s="148"/>
      <c r="AK191" s="148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 s="63" t="s">
        <v>22</v>
      </c>
      <c r="B192" s="66" t="str">
        <f>_xlfn.IFNA(INDEX(Table_INPUT_2D[X],MATCH(Table8[[#This Row],[UID]],Table_INPUT_2D[Unique ID],0)),"")</f>
        <v/>
      </c>
      <c r="C192" s="66" t="str">
        <f>_xlfn.IFNA(INDEX(Table_INPUT_2D[Y],MATCH(Table8[[#This Row],[UID]],Table_INPUT_2D[Unique ID],0)),"")</f>
        <v/>
      </c>
      <c r="D192" s="66" t="str">
        <f>_xlfn.IFNA(INDEX(Table_INPUT_2D[Z],MATCH(Table8[[#This Row],[UID]],Table_INPUT_2D[Unique ID],0)),"")</f>
        <v/>
      </c>
      <c r="E192" s="65"/>
      <c r="G192" s="2" t="str">
        <f>IF($A$192 &lt;&gt; "",$A$192, "")</f>
        <v>STATION</v>
      </c>
      <c r="H192" s="2" t="str">
        <f>IF($B$192 &lt;&gt; "",$B$192, "")</f>
        <v/>
      </c>
      <c r="I192" s="2" t="str">
        <f>IF($C$192 &lt;&gt; "",$C$192, "")</f>
        <v/>
      </c>
      <c r="J192" s="2" t="str">
        <f>IF($D$192 &lt;&gt; "",$D$192, "")</f>
        <v/>
      </c>
      <c r="K192"/>
      <c r="L192"/>
      <c r="M192"/>
      <c r="N192"/>
      <c r="O192" s="56"/>
      <c r="P192"/>
      <c r="Q192"/>
      <c r="R192"/>
      <c r="S192"/>
      <c r="T192"/>
      <c r="U192"/>
      <c r="V192" s="156"/>
      <c r="W192" s="108"/>
      <c r="X192" s="151"/>
      <c r="Y192" s="148"/>
      <c r="Z192" s="149"/>
      <c r="AA192" s="149"/>
      <c r="AB192" s="108"/>
      <c r="AC192" s="14" t="s">
        <v>754</v>
      </c>
      <c r="AD192" s="168">
        <f t="shared" si="10"/>
        <v>5034.6639999999998</v>
      </c>
      <c r="AE192" s="168">
        <f t="shared" si="11"/>
        <v>9938.2669999999998</v>
      </c>
      <c r="AF192" s="168">
        <f t="shared" si="12"/>
        <v>196.887</v>
      </c>
      <c r="AG192" s="148"/>
      <c r="AH192" s="148"/>
      <c r="AI192" s="148"/>
      <c r="AJ192" s="148"/>
      <c r="AK192" s="148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 s="67" t="s">
        <v>123</v>
      </c>
      <c r="B193" s="66">
        <f>_xlfn.IFNA(INDEX(Table_INPUT_2D[X],MATCH(Table8[[#This Row],[UID]],Table_INPUT_2D[Unique ID],0)),"")</f>
        <v>10921.315000000001</v>
      </c>
      <c r="C193" s="66">
        <f>_xlfn.IFNA(INDEX(Table_INPUT_2D[Y],MATCH(Table8[[#This Row],[UID]],Table_INPUT_2D[Unique ID],0)),"")</f>
        <v>4753.1379999999999</v>
      </c>
      <c r="D193" s="66">
        <f>_xlfn.IFNA(INDEX(Table_INPUT_2D[Z],MATCH(Table8[[#This Row],[UID]],Table_INPUT_2D[Unique ID],0)),"")</f>
        <v>223.41300000000001</v>
      </c>
      <c r="E193" s="65" t="s">
        <v>296</v>
      </c>
      <c r="G193" s="2" t="str">
        <f>IF($A$193 &lt;&gt; "",$A$193, "")</f>
        <v>MR9060</v>
      </c>
      <c r="H193" s="2">
        <f>IF($B$193 &lt;&gt; "",$B$193, "")</f>
        <v>10921.315000000001</v>
      </c>
      <c r="I193" s="2">
        <f>IF($C$193 &lt;&gt; "",$C$193, "")</f>
        <v>4753.1379999999999</v>
      </c>
      <c r="J193" s="2">
        <f>IF($D$193 &lt;&gt; "",$D$193, "")</f>
        <v>223.41300000000001</v>
      </c>
      <c r="K193">
        <f>AVERAGE($H$193,$H$194)</f>
        <v>10921.315500000001</v>
      </c>
      <c r="L193">
        <f>AVERAGE($I$193,$I$194)</f>
        <v>4753.1385</v>
      </c>
      <c r="M193">
        <f>AVERAGE($J$193,$J$194)</f>
        <v>223.41399999999999</v>
      </c>
      <c r="N193"/>
      <c r="O193" s="56">
        <f>$O$185</f>
        <v>142.25818801652903</v>
      </c>
      <c r="P193"/>
      <c r="Q193"/>
      <c r="R193"/>
      <c r="S193"/>
      <c r="T193"/>
      <c r="U193"/>
      <c r="V193" s="156"/>
      <c r="W193" s="108" t="s">
        <v>469</v>
      </c>
      <c r="X193" s="151">
        <v>1</v>
      </c>
      <c r="Y193" s="152">
        <f>O256</f>
        <v>186.11518801652903</v>
      </c>
      <c r="Z193" s="149">
        <f>$X$23*($X$193/$X$193)+$Z$191</f>
        <v>-3.5937499996085975E-4</v>
      </c>
      <c r="AA193" s="147">
        <f t="shared" si="3"/>
        <v>186.11554739152899</v>
      </c>
      <c r="AB193" s="108"/>
      <c r="AE193" s="148"/>
      <c r="AF193" s="148"/>
      <c r="AG193" s="148"/>
      <c r="AH193" s="148"/>
      <c r="AI193" s="148"/>
      <c r="AJ193" s="148"/>
      <c r="AK193" s="148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 s="67" t="s">
        <v>123</v>
      </c>
      <c r="B194" s="66">
        <f>_xlfn.IFNA(INDEX(Table_INPUT_2D[X],MATCH(Table8[[#This Row],[UID]],Table_INPUT_2D[Unique ID],0)),"")</f>
        <v>10921.316000000001</v>
      </c>
      <c r="C194" s="66">
        <f>_xlfn.IFNA(INDEX(Table_INPUT_2D[Y],MATCH(Table8[[#This Row],[UID]],Table_INPUT_2D[Unique ID],0)),"")</f>
        <v>4753.1390000000001</v>
      </c>
      <c r="D194" s="66">
        <f>_xlfn.IFNA(INDEX(Table_INPUT_2D[Z],MATCH(Table8[[#This Row],[UID]],Table_INPUT_2D[Unique ID],0)),"")</f>
        <v>223.41499999999999</v>
      </c>
      <c r="E194" s="65" t="s">
        <v>297</v>
      </c>
      <c r="G194" s="2" t="str">
        <f>IF($A$194 &lt;&gt; "",$A$194, "")</f>
        <v>MR9060</v>
      </c>
      <c r="H194" s="2">
        <f>IF($B$194 &lt;&gt; "",$B$194, "")</f>
        <v>10921.316000000001</v>
      </c>
      <c r="I194" s="2">
        <f>IF($C$194 &lt;&gt; "",$C$194, "")</f>
        <v>4753.1390000000001</v>
      </c>
      <c r="J194" s="2">
        <f>IF($D$194 &lt;&gt; "",$D$194, "")</f>
        <v>223.41499999999999</v>
      </c>
      <c r="K194"/>
      <c r="L194"/>
      <c r="M194"/>
      <c r="N194">
        <f>$M$195-$M$193</f>
        <v>0.42600000000001614</v>
      </c>
      <c r="O194" s="56"/>
      <c r="P194">
        <f>SQRT(($K$195-$K$193)^2 +($L$195-$L$193)^2)</f>
        <v>21.085348111899123</v>
      </c>
      <c r="Q194"/>
      <c r="R194"/>
      <c r="S194"/>
      <c r="T194"/>
      <c r="U194"/>
      <c r="V194" s="156"/>
      <c r="X194" s="151"/>
      <c r="Y194" s="148"/>
      <c r="Z194" s="149"/>
      <c r="AA194" s="149"/>
      <c r="AB194" s="108"/>
      <c r="AE194" s="148"/>
      <c r="AF194" s="148"/>
      <c r="AG194" s="148"/>
      <c r="AH194" s="148"/>
      <c r="AI194" s="148"/>
      <c r="AJ194" s="148"/>
      <c r="AK194" s="148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 s="67" t="s">
        <v>124</v>
      </c>
      <c r="B195" s="66">
        <f>_xlfn.IFNA(INDEX(Table_INPUT_2D[X],MATCH(Table8[[#This Row],[UID]],Table_INPUT_2D[Unique ID],0)),"")</f>
        <v>10938.48</v>
      </c>
      <c r="C195" s="66">
        <f>_xlfn.IFNA(INDEX(Table_INPUT_2D[Y],MATCH(Table8[[#This Row],[UID]],Table_INPUT_2D[Unique ID],0)),"")</f>
        <v>4740.8919999999998</v>
      </c>
      <c r="D195" s="66">
        <f>_xlfn.IFNA(INDEX(Table_INPUT_2D[Z],MATCH(Table8[[#This Row],[UID]],Table_INPUT_2D[Unique ID],0)),"")</f>
        <v>223.84</v>
      </c>
      <c r="E195" s="65" t="s">
        <v>300</v>
      </c>
      <c r="G195" s="2" t="str">
        <f>IF($A$195 &lt;&gt; "",$A$195, "")</f>
        <v>MR9061</v>
      </c>
      <c r="H195" s="2">
        <f>IF($B$195 &lt;&gt; "",$B$195, "")</f>
        <v>10938.48</v>
      </c>
      <c r="I195" s="2">
        <f>IF($C$195 &lt;&gt; "",$C$195, "")</f>
        <v>4740.8919999999998</v>
      </c>
      <c r="J195" s="2">
        <f>IF($D$195 &lt;&gt; "",$D$195, "")</f>
        <v>223.84</v>
      </c>
      <c r="K195">
        <f>AVERAGE($H$195,$H$196)</f>
        <v>10938.479499999999</v>
      </c>
      <c r="L195">
        <f>AVERAGE($I$195,$I$196)</f>
        <v>4740.8914999999997</v>
      </c>
      <c r="M195">
        <f>AVERAGE($J$195,$J$196)</f>
        <v>223.84</v>
      </c>
      <c r="N195"/>
      <c r="O195" s="56">
        <f>$O$193+($N$194)</f>
        <v>142.68418801652905</v>
      </c>
      <c r="P195"/>
      <c r="Q195"/>
      <c r="R195"/>
      <c r="S195"/>
      <c r="T195"/>
      <c r="U195"/>
      <c r="V195" s="156"/>
      <c r="W195" t="str">
        <f>$A$254</f>
        <v>MR9074</v>
      </c>
      <c r="X195" s="151">
        <v>1</v>
      </c>
      <c r="Y195" s="150">
        <f>$O$254</f>
        <v>160.97718801652906</v>
      </c>
      <c r="Z195" s="149">
        <f>$X$23*($X$195/$X$195)+$Z$193</f>
        <v>-3.74999999959158E-4</v>
      </c>
      <c r="AA195" s="147">
        <f t="shared" si="3"/>
        <v>160.97756301652902</v>
      </c>
      <c r="AB195" s="108"/>
      <c r="AE195" s="148"/>
      <c r="AF195" s="148"/>
      <c r="AG195" s="148"/>
      <c r="AH195" s="148"/>
      <c r="AI195" s="148"/>
      <c r="AJ195" s="148"/>
      <c r="AK195" s="148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 s="67" t="s">
        <v>124</v>
      </c>
      <c r="B196" s="66">
        <f>_xlfn.IFNA(INDEX(Table_INPUT_2D[X],MATCH(Table8[[#This Row],[UID]],Table_INPUT_2D[Unique ID],0)),"")</f>
        <v>10938.478999999999</v>
      </c>
      <c r="C196" s="66">
        <f>_xlfn.IFNA(INDEX(Table_INPUT_2D[Y],MATCH(Table8[[#This Row],[UID]],Table_INPUT_2D[Unique ID],0)),"")</f>
        <v>4740.8909999999996</v>
      </c>
      <c r="D196" s="66">
        <f>_xlfn.IFNA(INDEX(Table_INPUT_2D[Z],MATCH(Table8[[#This Row],[UID]],Table_INPUT_2D[Unique ID],0)),"")</f>
        <v>223.84</v>
      </c>
      <c r="E196" s="65" t="s">
        <v>301</v>
      </c>
      <c r="G196" s="2" t="str">
        <f>IF($A$196 &lt;&gt; "",$A$196, "")</f>
        <v>MR9061</v>
      </c>
      <c r="H196" s="2">
        <f>IF($B$196 &lt;&gt; "",$B$196, "")</f>
        <v>10938.478999999999</v>
      </c>
      <c r="I196" s="2">
        <f>IF($C$196 &lt;&gt; "",$C$196, "")</f>
        <v>4740.8909999999996</v>
      </c>
      <c r="J196" s="2">
        <f>IF($D$196 &lt;&gt; "",$D$196, "")</f>
        <v>223.84</v>
      </c>
      <c r="K196"/>
      <c r="L196"/>
      <c r="M196"/>
      <c r="N196">
        <f>$M$197-$M$195</f>
        <v>0.31299999999998818</v>
      </c>
      <c r="O196" s="56"/>
      <c r="P196">
        <f>SQRT(($K$197-$K$195)^2 +($L$197-$L$195)^2)</f>
        <v>17.870330830737363</v>
      </c>
      <c r="Q196"/>
      <c r="R196"/>
      <c r="S196"/>
      <c r="T196"/>
      <c r="U196"/>
      <c r="V196" s="156"/>
      <c r="W196"/>
      <c r="X196" s="151"/>
      <c r="Y196" s="150"/>
      <c r="Z196" s="149"/>
      <c r="AA196" s="150"/>
      <c r="AB196" s="108"/>
      <c r="AE196" s="148"/>
      <c r="AF196" s="148"/>
      <c r="AG196" s="148"/>
      <c r="AH196" s="148"/>
      <c r="AI196" s="148"/>
      <c r="AJ196" s="148"/>
      <c r="AK196" s="148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 s="67" t="s">
        <v>125</v>
      </c>
      <c r="B197" s="66">
        <f>_xlfn.IFNA(INDEX(Table_INPUT_2D[X],MATCH(Table8[[#This Row],[UID]],Table_INPUT_2D[Unique ID],0)),"")</f>
        <v>10952.998</v>
      </c>
      <c r="C197" s="66">
        <f>_xlfn.IFNA(INDEX(Table_INPUT_2D[Y],MATCH(Table8[[#This Row],[UID]],Table_INPUT_2D[Unique ID],0)),"")</f>
        <v>4730.4709999999995</v>
      </c>
      <c r="D197" s="66">
        <f>_xlfn.IFNA(INDEX(Table_INPUT_2D[Z],MATCH(Table8[[#This Row],[UID]],Table_INPUT_2D[Unique ID],0)),"")</f>
        <v>224.15299999999999</v>
      </c>
      <c r="E197" s="65" t="s">
        <v>302</v>
      </c>
      <c r="G197" s="2" t="str">
        <f>IF($A$197 &lt;&gt; "",$A$197, "")</f>
        <v>MR9062</v>
      </c>
      <c r="H197" s="2">
        <f>IF($B$197 &lt;&gt; "",$B$197, "")</f>
        <v>10952.998</v>
      </c>
      <c r="I197" s="2">
        <f>IF($C$197 &lt;&gt; "",$C$197, "")</f>
        <v>4730.4709999999995</v>
      </c>
      <c r="J197" s="2">
        <f>IF($D$197 &lt;&gt; "",$D$197, "")</f>
        <v>224.15299999999999</v>
      </c>
      <c r="K197">
        <f>AVERAGE($H$197,$H$198)</f>
        <v>10952.997499999999</v>
      </c>
      <c r="L197">
        <f>AVERAGE($I$197,$I$198)</f>
        <v>4730.4714999999997</v>
      </c>
      <c r="M197">
        <f>AVERAGE($J$197,$J$198)</f>
        <v>224.15299999999999</v>
      </c>
      <c r="N197"/>
      <c r="O197" s="56">
        <f>$O$195+($N$196)</f>
        <v>142.99718801652904</v>
      </c>
      <c r="P197"/>
      <c r="Q197"/>
      <c r="R197"/>
      <c r="S197"/>
      <c r="T197"/>
      <c r="U197"/>
      <c r="V197" s="156"/>
      <c r="W197" t="str">
        <f>$A$232</f>
        <v>MR9067</v>
      </c>
      <c r="X197" s="151">
        <v>1</v>
      </c>
      <c r="Y197" s="150">
        <f>$O$232</f>
        <v>147.94918801652904</v>
      </c>
      <c r="Z197" s="149">
        <f>$X$23*($X$197/$X$197)+$Z$195</f>
        <v>-3.9062499995745625E-4</v>
      </c>
      <c r="AA197" s="150">
        <f>$Y$197-$Z$197</f>
        <v>147.949578641529</v>
      </c>
      <c r="AB197" s="108"/>
      <c r="AE197" s="148"/>
      <c r="AF197" s="148"/>
      <c r="AG197" s="148"/>
      <c r="AH197" s="148"/>
      <c r="AI197" s="148"/>
      <c r="AJ197" s="148"/>
      <c r="AK197" s="148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 s="67" t="s">
        <v>125</v>
      </c>
      <c r="B198" s="66">
        <f>_xlfn.IFNA(INDEX(Table_INPUT_2D[X],MATCH(Table8[[#This Row],[UID]],Table_INPUT_2D[Unique ID],0)),"")</f>
        <v>10952.996999999999</v>
      </c>
      <c r="C198" s="66">
        <f>_xlfn.IFNA(INDEX(Table_INPUT_2D[Y],MATCH(Table8[[#This Row],[UID]],Table_INPUT_2D[Unique ID],0)),"")</f>
        <v>4730.4719999999998</v>
      </c>
      <c r="D198" s="66">
        <f>_xlfn.IFNA(INDEX(Table_INPUT_2D[Z],MATCH(Table8[[#This Row],[UID]],Table_INPUT_2D[Unique ID],0)),"")</f>
        <v>224.15299999999999</v>
      </c>
      <c r="E198" s="65" t="s">
        <v>303</v>
      </c>
      <c r="G198" s="2" t="str">
        <f>IF($A$198 &lt;&gt; "",$A$198, "")</f>
        <v>MR9062</v>
      </c>
      <c r="H198" s="2">
        <f>IF($B$198 &lt;&gt; "",$B$198, "")</f>
        <v>10952.996999999999</v>
      </c>
      <c r="I198" s="2">
        <f>IF($C$198 &lt;&gt; "",$C$198, "")</f>
        <v>4730.4719999999998</v>
      </c>
      <c r="J198" s="2">
        <f>IF($D$198 &lt;&gt; "",$D$198, "")</f>
        <v>224.15299999999999</v>
      </c>
      <c r="K198"/>
      <c r="L198"/>
      <c r="M198"/>
      <c r="N198">
        <f>$M$199-$M$197</f>
        <v>0.20400000000000773</v>
      </c>
      <c r="O198" s="56"/>
      <c r="P198">
        <f>SQRT(($K$199-$K$197)^2 +($L$199-$L$197)^2)</f>
        <v>21.047276700323575</v>
      </c>
      <c r="Q198"/>
      <c r="R198"/>
      <c r="S198"/>
      <c r="T198"/>
      <c r="U198"/>
      <c r="V198" s="156"/>
      <c r="W198"/>
      <c r="X198"/>
      <c r="Y198" s="147"/>
      <c r="Z198" s="202"/>
      <c r="AA198" s="147"/>
      <c r="AB198"/>
      <c r="AE198" s="148"/>
      <c r="AF198" s="148"/>
      <c r="AG198" s="148"/>
      <c r="AH198" s="148"/>
      <c r="AI198" s="148"/>
      <c r="AJ198" s="148"/>
      <c r="AK198" s="14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 s="67" t="s">
        <v>126</v>
      </c>
      <c r="B199" s="66">
        <f>_xlfn.IFNA(INDEX(Table_INPUT_2D[X],MATCH(Table8[[#This Row],[UID]],Table_INPUT_2D[Unique ID],0)),"")</f>
        <v>10970.094999999999</v>
      </c>
      <c r="C199" s="66">
        <f>_xlfn.IFNA(INDEX(Table_INPUT_2D[Y],MATCH(Table8[[#This Row],[UID]],Table_INPUT_2D[Unique ID],0)),"")</f>
        <v>4718.1970000000001</v>
      </c>
      <c r="D199" s="66">
        <f>_xlfn.IFNA(INDEX(Table_INPUT_2D[Z],MATCH(Table8[[#This Row],[UID]],Table_INPUT_2D[Unique ID],0)),"")</f>
        <v>224.357</v>
      </c>
      <c r="E199" s="65" t="s">
        <v>304</v>
      </c>
      <c r="G199" s="2" t="str">
        <f>IF($A$199 &lt;&gt; "",$A$199, "")</f>
        <v>MR9063</v>
      </c>
      <c r="H199" s="2">
        <f>IF($B$199 &lt;&gt; "",$B$199, "")</f>
        <v>10970.094999999999</v>
      </c>
      <c r="I199" s="2">
        <f>IF($C$199 &lt;&gt; "",$C$199, "")</f>
        <v>4718.1970000000001</v>
      </c>
      <c r="J199" s="2">
        <f>IF($D$199 &lt;&gt; "",$D$199, "")</f>
        <v>224.357</v>
      </c>
      <c r="K199">
        <f>AVERAGE($H$199,$H$200)</f>
        <v>10970.094999999999</v>
      </c>
      <c r="L199">
        <f>AVERAGE($I$199,$I$200)</f>
        <v>4718.1970000000001</v>
      </c>
      <c r="M199">
        <f>AVERAGE($J$199,$J$200)</f>
        <v>224.357</v>
      </c>
      <c r="N199"/>
      <c r="O199" s="56">
        <f>$O$197+($N$198)</f>
        <v>143.20118801652904</v>
      </c>
      <c r="P199"/>
      <c r="Q199"/>
      <c r="R199"/>
      <c r="S199"/>
      <c r="T199"/>
      <c r="U199"/>
      <c r="V199" s="156"/>
      <c r="W199" t="str">
        <f>$A$210</f>
        <v>MR9060</v>
      </c>
      <c r="X199">
        <v>1</v>
      </c>
      <c r="Y199" s="147">
        <f>$O$210</f>
        <v>142.25768801652904</v>
      </c>
      <c r="Z199" s="202">
        <f>$X$23*($X$199/$X$199)+$Z$197</f>
        <v>-4.062499999557545E-4</v>
      </c>
      <c r="AA199" s="147">
        <f>$Y$199-$Z$199</f>
        <v>142.25809426652901</v>
      </c>
      <c r="AB199"/>
      <c r="AE199" s="148"/>
      <c r="AF199" s="148"/>
      <c r="AG199" s="148"/>
      <c r="AH199" s="148"/>
      <c r="AI199" s="148"/>
      <c r="AJ199" s="148"/>
      <c r="AK199" s="148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 s="67" t="s">
        <v>126</v>
      </c>
      <c r="B200" s="66">
        <f>_xlfn.IFNA(INDEX(Table_INPUT_2D[X],MATCH(Table8[[#This Row],[UID]],Table_INPUT_2D[Unique ID],0)),"")</f>
        <v>10970.094999999999</v>
      </c>
      <c r="C200" s="66">
        <f>_xlfn.IFNA(INDEX(Table_INPUT_2D[Y],MATCH(Table8[[#This Row],[UID]],Table_INPUT_2D[Unique ID],0)),"")</f>
        <v>4718.1970000000001</v>
      </c>
      <c r="D200" s="66">
        <f>_xlfn.IFNA(INDEX(Table_INPUT_2D[Z],MATCH(Table8[[#This Row],[UID]],Table_INPUT_2D[Unique ID],0)),"")</f>
        <v>224.357</v>
      </c>
      <c r="E200" s="65" t="s">
        <v>305</v>
      </c>
      <c r="G200" s="2" t="str">
        <f>IF($A$200 &lt;&gt; "",$A$200, "")</f>
        <v>MR9063</v>
      </c>
      <c r="H200" s="2">
        <f>IF($B$200 &lt;&gt; "",$B$200, "")</f>
        <v>10970.094999999999</v>
      </c>
      <c r="I200" s="2">
        <f>IF($C$200 &lt;&gt; "",$C$200, "")</f>
        <v>4718.1970000000001</v>
      </c>
      <c r="J200" s="2">
        <f>IF($D$200 &lt;&gt; "",$D$200, "")</f>
        <v>224.357</v>
      </c>
      <c r="K200"/>
      <c r="L200"/>
      <c r="M200"/>
      <c r="N200">
        <f>$M$201-$M$199</f>
        <v>0.54549999999997567</v>
      </c>
      <c r="O200" s="56"/>
      <c r="P200">
        <f>SQRT(($K$201-$K$199)^2 +($L$201-$L$199)^2)</f>
        <v>17.747844178941762</v>
      </c>
      <c r="Q200"/>
      <c r="R200"/>
      <c r="S200"/>
      <c r="T200"/>
      <c r="U200"/>
      <c r="V200" s="156"/>
      <c r="W200"/>
      <c r="X200"/>
      <c r="Y200" s="147"/>
      <c r="Z200" s="202"/>
      <c r="AA200" s="147"/>
      <c r="AB200"/>
      <c r="AE200" s="148"/>
      <c r="AF200" s="148"/>
      <c r="AG200" s="148"/>
      <c r="AH200" s="148"/>
      <c r="AI200" s="148"/>
      <c r="AJ200" s="148"/>
      <c r="AK200" s="148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 s="67" t="s">
        <v>127</v>
      </c>
      <c r="B201" s="66">
        <f>_xlfn.IFNA(INDEX(Table_INPUT_2D[X],MATCH(Table8[[#This Row],[UID]],Table_INPUT_2D[Unique ID],0)),"")</f>
        <v>10984.316999999999</v>
      </c>
      <c r="C201" s="66">
        <f>_xlfn.IFNA(INDEX(Table_INPUT_2D[Y],MATCH(Table8[[#This Row],[UID]],Table_INPUT_2D[Unique ID],0)),"")</f>
        <v>4707.58</v>
      </c>
      <c r="D201" s="66">
        <f>_xlfn.IFNA(INDEX(Table_INPUT_2D[Z],MATCH(Table8[[#This Row],[UID]],Table_INPUT_2D[Unique ID],0)),"")</f>
        <v>224.90299999999999</v>
      </c>
      <c r="E201" s="65" t="s">
        <v>306</v>
      </c>
      <c r="G201" s="2" t="str">
        <f>IF($A$201 &lt;&gt; "",$A$201, "")</f>
        <v>MR9064</v>
      </c>
      <c r="H201" s="2">
        <f>IF($B$201 &lt;&gt; "",$B$201, "")</f>
        <v>10984.316999999999</v>
      </c>
      <c r="I201" s="2">
        <f>IF($C$201 &lt;&gt; "",$C$201, "")</f>
        <v>4707.58</v>
      </c>
      <c r="J201" s="2">
        <f>IF($D$201 &lt;&gt; "",$D$201, "")</f>
        <v>224.90299999999999</v>
      </c>
      <c r="K201">
        <f>AVERAGE($H$201,$H$202)</f>
        <v>10984.316999999999</v>
      </c>
      <c r="L201">
        <f>AVERAGE($I$201,$I$202)</f>
        <v>4707.58</v>
      </c>
      <c r="M201">
        <f>AVERAGE($J$201,$J$202)</f>
        <v>224.90249999999997</v>
      </c>
      <c r="N201"/>
      <c r="O201" s="56">
        <f>$O$199+($N$200)</f>
        <v>143.74668801652902</v>
      </c>
      <c r="P201"/>
      <c r="Q201"/>
      <c r="R201"/>
      <c r="S201"/>
      <c r="T201"/>
      <c r="U201"/>
      <c r="V201" s="156"/>
      <c r="W201" t="str">
        <f>$A$188</f>
        <v>MR9052</v>
      </c>
      <c r="X201">
        <v>1</v>
      </c>
      <c r="Y201" s="147">
        <f>$O$188</f>
        <v>134.81468801652903</v>
      </c>
      <c r="Z201" s="202">
        <f>$X$23*($X$201/$X$201)+$Z$199</f>
        <v>-4.2187499995405275E-4</v>
      </c>
      <c r="AA201" s="147">
        <f>$Y$201-$Z$201</f>
        <v>134.81510989152898</v>
      </c>
      <c r="AB201"/>
      <c r="AE201" s="148"/>
      <c r="AF201" s="148"/>
      <c r="AG201" s="148"/>
      <c r="AH201" s="148"/>
      <c r="AI201" s="148"/>
      <c r="AJ201" s="148"/>
      <c r="AK201" s="148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 s="67" t="s">
        <v>127</v>
      </c>
      <c r="B202" s="66">
        <f>_xlfn.IFNA(INDEX(Table_INPUT_2D[X],MATCH(Table8[[#This Row],[UID]],Table_INPUT_2D[Unique ID],0)),"")</f>
        <v>10984.316999999999</v>
      </c>
      <c r="C202" s="66">
        <f>_xlfn.IFNA(INDEX(Table_INPUT_2D[Y],MATCH(Table8[[#This Row],[UID]],Table_INPUT_2D[Unique ID],0)),"")</f>
        <v>4707.58</v>
      </c>
      <c r="D202" s="66">
        <f>_xlfn.IFNA(INDEX(Table_INPUT_2D[Z],MATCH(Table8[[#This Row],[UID]],Table_INPUT_2D[Unique ID],0)),"")</f>
        <v>224.90199999999999</v>
      </c>
      <c r="E202" s="65" t="s">
        <v>307</v>
      </c>
      <c r="G202" s="2" t="str">
        <f>IF($A$202 &lt;&gt; "",$A$202, "")</f>
        <v>MR9064</v>
      </c>
      <c r="H202" s="2">
        <f>IF($B$202 &lt;&gt; "",$B$202, "")</f>
        <v>10984.316999999999</v>
      </c>
      <c r="I202" s="2">
        <f>IF($C$202 &lt;&gt; "",$C$202, "")</f>
        <v>4707.58</v>
      </c>
      <c r="J202" s="2">
        <f>IF($D$202 &lt;&gt; "",$D$202, "")</f>
        <v>224.90199999999999</v>
      </c>
      <c r="K202"/>
      <c r="L202"/>
      <c r="M202"/>
      <c r="N202">
        <f>$M$203-$M$201</f>
        <v>1.4475000000000193</v>
      </c>
      <c r="O202" s="56"/>
      <c r="P202">
        <f>SQRT(($K$203-$K$201)^2 +($L$203-$L$201)^2)</f>
        <v>20.506394185717561</v>
      </c>
      <c r="Q202"/>
      <c r="R202"/>
      <c r="S202"/>
      <c r="T202"/>
      <c r="U202"/>
      <c r="V202" s="156"/>
      <c r="W202"/>
      <c r="X202"/>
      <c r="Y202" s="147"/>
      <c r="Z202" s="202"/>
      <c r="AA202" s="147"/>
      <c r="AB202"/>
      <c r="AE202" s="148"/>
      <c r="AF202" s="148"/>
      <c r="AG202" s="148"/>
      <c r="AH202" s="148"/>
      <c r="AI202" s="148"/>
      <c r="AJ202" s="148"/>
      <c r="AK202" s="148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 s="67" t="s">
        <v>128</v>
      </c>
      <c r="B203" s="66">
        <f>_xlfn.IFNA(INDEX(Table_INPUT_2D[X],MATCH(Table8[[#This Row],[UID]],Table_INPUT_2D[Unique ID],0)),"")</f>
        <v>11000.606</v>
      </c>
      <c r="C203" s="66">
        <f>_xlfn.IFNA(INDEX(Table_INPUT_2D[Y],MATCH(Table8[[#This Row],[UID]],Table_INPUT_2D[Unique ID],0)),"")</f>
        <v>4695.1229999999996</v>
      </c>
      <c r="D203" s="66">
        <f>_xlfn.IFNA(INDEX(Table_INPUT_2D[Z],MATCH(Table8[[#This Row],[UID]],Table_INPUT_2D[Unique ID],0)),"")</f>
        <v>226.35</v>
      </c>
      <c r="E203" s="65" t="s">
        <v>308</v>
      </c>
      <c r="G203" s="2" t="str">
        <f>IF($A$203 &lt;&gt; "",$A$203, "")</f>
        <v>MR9065</v>
      </c>
      <c r="H203" s="2">
        <f>IF($B$203 &lt;&gt; "",$B$203, "")</f>
        <v>11000.606</v>
      </c>
      <c r="I203" s="2">
        <f>IF($C$203 &lt;&gt; "",$C$203, "")</f>
        <v>4695.1229999999996</v>
      </c>
      <c r="J203" s="2">
        <f>IF($D$203 &lt;&gt; "",$D$203, "")</f>
        <v>226.35</v>
      </c>
      <c r="K203">
        <f>AVERAGE($H$203,$H$204)</f>
        <v>11000.6065</v>
      </c>
      <c r="L203">
        <f>AVERAGE($I$203,$I$204)</f>
        <v>4695.1234999999997</v>
      </c>
      <c r="M203">
        <f>AVERAGE($J$203,$J$204)</f>
        <v>226.35</v>
      </c>
      <c r="N203"/>
      <c r="O203" s="56">
        <f>$O$201+($N$202)</f>
        <v>145.19418801652904</v>
      </c>
      <c r="P203"/>
      <c r="Q203"/>
      <c r="R203"/>
      <c r="S203"/>
      <c r="T203"/>
      <c r="U203"/>
      <c r="V203" s="156"/>
      <c r="W203" t="str">
        <f>$A$164</f>
        <v>MR9042</v>
      </c>
      <c r="X203">
        <v>1</v>
      </c>
      <c r="Y203" s="147">
        <f>$O$164</f>
        <v>128.16718801652905</v>
      </c>
      <c r="Z203" s="202">
        <f>$X$23*($X$203/$X$203)+$Z$201</f>
        <v>-4.37499999952351E-4</v>
      </c>
      <c r="AA203" s="147">
        <f>$Y$203-$Z$203</f>
        <v>128.167625516529</v>
      </c>
      <c r="AB203"/>
      <c r="AE203" s="148"/>
      <c r="AF203" s="148"/>
      <c r="AG203" s="148"/>
      <c r="AH203" s="148"/>
      <c r="AI203" s="148"/>
      <c r="AJ203" s="148"/>
      <c r="AK203" s="148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 s="67" t="s">
        <v>128</v>
      </c>
      <c r="B204" s="66">
        <f>_xlfn.IFNA(INDEX(Table_INPUT_2D[X],MATCH(Table8[[#This Row],[UID]],Table_INPUT_2D[Unique ID],0)),"")</f>
        <v>11000.607</v>
      </c>
      <c r="C204" s="66">
        <f>_xlfn.IFNA(INDEX(Table_INPUT_2D[Y],MATCH(Table8[[#This Row],[UID]],Table_INPUT_2D[Unique ID],0)),"")</f>
        <v>4695.1239999999998</v>
      </c>
      <c r="D204" s="66">
        <f>_xlfn.IFNA(INDEX(Table_INPUT_2D[Z],MATCH(Table8[[#This Row],[UID]],Table_INPUT_2D[Unique ID],0)),"")</f>
        <v>226.35</v>
      </c>
      <c r="E204" s="65" t="s">
        <v>309</v>
      </c>
      <c r="G204" s="2" t="str">
        <f>IF($A$204 &lt;&gt; "",$A$204, "")</f>
        <v>MR9065</v>
      </c>
      <c r="H204" s="2">
        <f>IF($B$204 &lt;&gt; "",$B$204, "")</f>
        <v>11000.607</v>
      </c>
      <c r="I204" s="2">
        <f>IF($C$204 &lt;&gt; "",$C$204, "")</f>
        <v>4695.1239999999998</v>
      </c>
      <c r="J204" s="2">
        <f>IF($D$204 &lt;&gt; "",$D$204, "")</f>
        <v>226.35</v>
      </c>
      <c r="K204"/>
      <c r="L204"/>
      <c r="M204"/>
      <c r="N204">
        <f>$M$205-$M$203</f>
        <v>1.2355000000000018</v>
      </c>
      <c r="O204" s="56"/>
      <c r="P204">
        <f>SQRT(($K$205-$K$203)^2 +($L$205-$L$203)^2)</f>
        <v>20.576342465316046</v>
      </c>
      <c r="Q204"/>
      <c r="R204"/>
      <c r="S204"/>
      <c r="T204"/>
      <c r="U204"/>
      <c r="V204" s="156"/>
      <c r="W204"/>
      <c r="X204"/>
      <c r="Y204" s="147"/>
      <c r="Z204" s="202"/>
      <c r="AA204" s="147"/>
      <c r="AB204"/>
      <c r="AE204" s="148"/>
      <c r="AF204" s="148"/>
      <c r="AG204" s="148"/>
      <c r="AH204" s="148"/>
      <c r="AI204" s="148"/>
      <c r="AJ204" s="148"/>
      <c r="AK204" s="148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 s="67" t="s">
        <v>129</v>
      </c>
      <c r="B205" s="66">
        <f>_xlfn.IFNA(INDEX(Table_INPUT_2D[X],MATCH(Table8[[#This Row],[UID]],Table_INPUT_2D[Unique ID],0)),"")</f>
        <v>11016.971</v>
      </c>
      <c r="C205" s="66">
        <f>_xlfn.IFNA(INDEX(Table_INPUT_2D[Y],MATCH(Table8[[#This Row],[UID]],Table_INPUT_2D[Unique ID],0)),"")</f>
        <v>4682.6490000000003</v>
      </c>
      <c r="D205" s="66">
        <f>_xlfn.IFNA(INDEX(Table_INPUT_2D[Z],MATCH(Table8[[#This Row],[UID]],Table_INPUT_2D[Unique ID],0)),"")</f>
        <v>227.58699999999999</v>
      </c>
      <c r="E205" s="65" t="s">
        <v>310</v>
      </c>
      <c r="G205" s="2" t="str">
        <f>IF($A$205 &lt;&gt; "",$A$205, "")</f>
        <v>MR9066</v>
      </c>
      <c r="H205" s="2">
        <f>IF($B$205 &lt;&gt; "",$B$205, "")</f>
        <v>11016.971</v>
      </c>
      <c r="I205" s="2">
        <f>IF($C$205 &lt;&gt; "",$C$205, "")</f>
        <v>4682.6490000000003</v>
      </c>
      <c r="J205" s="2">
        <f>IF($D$205 &lt;&gt; "",$D$205, "")</f>
        <v>227.58699999999999</v>
      </c>
      <c r="K205">
        <f>AVERAGE($H$205,$H$206)</f>
        <v>11016.969499999999</v>
      </c>
      <c r="L205">
        <f>AVERAGE($I$205,$I$206)</f>
        <v>4682.6480000000001</v>
      </c>
      <c r="M205">
        <f>AVERAGE($J$205,$J$206)</f>
        <v>227.5855</v>
      </c>
      <c r="N205"/>
      <c r="O205" s="56">
        <f>$O$203+($N$204)</f>
        <v>146.42968801652904</v>
      </c>
      <c r="P205"/>
      <c r="Q205"/>
      <c r="R205"/>
      <c r="S205"/>
      <c r="T205"/>
      <c r="U205"/>
      <c r="V205" s="156"/>
      <c r="W205" t="str">
        <f>$A$136</f>
        <v>MR9032</v>
      </c>
      <c r="X205">
        <v>1</v>
      </c>
      <c r="Y205" s="147">
        <f>$O$136</f>
        <v>123.57468801652905</v>
      </c>
      <c r="Z205" s="202">
        <f>$X$23*($X$205/$X$205)+$Z$203</f>
        <v>-4.5312499995064925E-4</v>
      </c>
      <c r="AA205" s="147">
        <f>$Y$205-$Z$205</f>
        <v>123.575141141529</v>
      </c>
      <c r="AB205"/>
      <c r="AE205" s="148"/>
      <c r="AF205" s="148"/>
      <c r="AG205" s="148"/>
      <c r="AH205" s="148"/>
      <c r="AI205" s="148"/>
      <c r="AJ205" s="148"/>
      <c r="AK205" s="148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 s="67" t="s">
        <v>129</v>
      </c>
      <c r="B206" s="66">
        <f>_xlfn.IFNA(INDEX(Table_INPUT_2D[X],MATCH(Table8[[#This Row],[UID]],Table_INPUT_2D[Unique ID],0)),"")</f>
        <v>11016.968000000001</v>
      </c>
      <c r="C206" s="66">
        <f>_xlfn.IFNA(INDEX(Table_INPUT_2D[Y],MATCH(Table8[[#This Row],[UID]],Table_INPUT_2D[Unique ID],0)),"")</f>
        <v>4682.6469999999999</v>
      </c>
      <c r="D206" s="66">
        <f>_xlfn.IFNA(INDEX(Table_INPUT_2D[Z],MATCH(Table8[[#This Row],[UID]],Table_INPUT_2D[Unique ID],0)),"")</f>
        <v>227.584</v>
      </c>
      <c r="E206" s="65" t="s">
        <v>311</v>
      </c>
      <c r="G206" s="2" t="str">
        <f>IF($A$206 &lt;&gt; "",$A$206, "")</f>
        <v>MR9066</v>
      </c>
      <c r="H206" s="2">
        <f>IF($B$206 &lt;&gt; "",$B$206, "")</f>
        <v>11016.968000000001</v>
      </c>
      <c r="I206" s="2">
        <f>IF($C$206 &lt;&gt; "",$C$206, "")</f>
        <v>4682.6469999999999</v>
      </c>
      <c r="J206" s="2">
        <f>IF($D$206 &lt;&gt; "",$D$206, "")</f>
        <v>227.584</v>
      </c>
      <c r="K206"/>
      <c r="L206"/>
      <c r="M206"/>
      <c r="N206">
        <f>$M$207-$M$205</f>
        <v>1.5200000000000102</v>
      </c>
      <c r="O206" s="56"/>
      <c r="P206">
        <f>SQRT(($K$207-$K$205)^2 +($L$207-$L$205)^2)</f>
        <v>21.558538041805811</v>
      </c>
      <c r="Q206"/>
      <c r="R206"/>
      <c r="S206"/>
      <c r="T206"/>
      <c r="U206"/>
      <c r="V206" s="156"/>
      <c r="W206"/>
      <c r="X206"/>
      <c r="Y206" s="147"/>
      <c r="Z206" s="202"/>
      <c r="AA206" s="147"/>
      <c r="AB206"/>
      <c r="AE206" s="148"/>
      <c r="AF206" s="148"/>
      <c r="AG206" s="148"/>
      <c r="AH206" s="148"/>
      <c r="AI206" s="148"/>
      <c r="AJ206" s="148"/>
      <c r="AK206" s="148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 s="67" t="s">
        <v>130</v>
      </c>
      <c r="B207" s="66">
        <f>_xlfn.IFNA(INDEX(Table_INPUT_2D[X],MATCH(Table8[[#This Row],[UID]],Table_INPUT_2D[Unique ID],0)),"")</f>
        <v>11034.191000000001</v>
      </c>
      <c r="C207" s="66">
        <f>_xlfn.IFNA(INDEX(Table_INPUT_2D[Y],MATCH(Table8[[#This Row],[UID]],Table_INPUT_2D[Unique ID],0)),"")</f>
        <v>4669.68</v>
      </c>
      <c r="D207" s="66">
        <f>_xlfn.IFNA(INDEX(Table_INPUT_2D[Z],MATCH(Table8[[#This Row],[UID]],Table_INPUT_2D[Unique ID],0)),"")</f>
        <v>229.10400000000001</v>
      </c>
      <c r="E207" s="65" t="s">
        <v>312</v>
      </c>
      <c r="G207" s="2" t="str">
        <f>IF($A$207 &lt;&gt; "",$A$207, "")</f>
        <v>MR9067</v>
      </c>
      <c r="H207" s="2">
        <f>IF($B$207 &lt;&gt; "",$B$207, "")</f>
        <v>11034.191000000001</v>
      </c>
      <c r="I207" s="2">
        <f>IF($C$207 &lt;&gt; "",$C$207, "")</f>
        <v>4669.68</v>
      </c>
      <c r="J207" s="2">
        <f>IF($D$207 &lt;&gt; "",$D$207, "")</f>
        <v>229.10400000000001</v>
      </c>
      <c r="K207">
        <f>AVERAGE($H$207,$H$208)</f>
        <v>11034.191999999999</v>
      </c>
      <c r="L207">
        <f>AVERAGE($I$207,$I$208)</f>
        <v>4669.6805000000004</v>
      </c>
      <c r="M207">
        <f>AVERAGE($J$207,$J$208)</f>
        <v>229.10550000000001</v>
      </c>
      <c r="N207"/>
      <c r="O207" s="56">
        <f>$O$205+($N$206)</f>
        <v>147.94968801652905</v>
      </c>
      <c r="P207"/>
      <c r="Q207"/>
      <c r="R207"/>
      <c r="S207"/>
      <c r="T207"/>
      <c r="U207"/>
      <c r="V207" s="156"/>
      <c r="W207" t="str">
        <f>$A$108</f>
        <v>MR9022</v>
      </c>
      <c r="X207">
        <v>1</v>
      </c>
      <c r="Y207" s="147">
        <f>$O$108</f>
        <v>119.83668801652905</v>
      </c>
      <c r="Z207" s="202">
        <f>$X$23*($X$207/$X$207)+$Z$205</f>
        <v>-4.687499999489475E-4</v>
      </c>
      <c r="AA207" s="147">
        <f>$Y$207-$Z$207</f>
        <v>119.83715676652901</v>
      </c>
      <c r="AB207"/>
      <c r="AE207" s="148"/>
      <c r="AF207" s="148"/>
      <c r="AG207" s="148"/>
      <c r="AH207" s="148"/>
      <c r="AI207" s="148"/>
      <c r="AJ207" s="148"/>
      <c r="AK207" s="148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 s="67" t="s">
        <v>130</v>
      </c>
      <c r="B208" s="66">
        <f>_xlfn.IFNA(INDEX(Table_INPUT_2D[X],MATCH(Table8[[#This Row],[UID]],Table_INPUT_2D[Unique ID],0)),"")</f>
        <v>11034.192999999999</v>
      </c>
      <c r="C208" s="66">
        <f>_xlfn.IFNA(INDEX(Table_INPUT_2D[Y],MATCH(Table8[[#This Row],[UID]],Table_INPUT_2D[Unique ID],0)),"")</f>
        <v>4669.6809999999996</v>
      </c>
      <c r="D208" s="66">
        <f>_xlfn.IFNA(INDEX(Table_INPUT_2D[Z],MATCH(Table8[[#This Row],[UID]],Table_INPUT_2D[Unique ID],0)),"")</f>
        <v>229.107</v>
      </c>
      <c r="E208" s="65" t="s">
        <v>313</v>
      </c>
      <c r="G208" s="2" t="str">
        <f>IF($A$208 &lt;&gt; "",$A$208, "")</f>
        <v>MR9067</v>
      </c>
      <c r="H208" s="2">
        <f>IF($B$208 &lt;&gt; "",$B$208, "")</f>
        <v>11034.192999999999</v>
      </c>
      <c r="I208" s="2">
        <f>IF($C$208 &lt;&gt; "",$C$208, "")</f>
        <v>4669.6809999999996</v>
      </c>
      <c r="J208" s="2">
        <f>IF($D$208 &lt;&gt; "",$D$208, "")</f>
        <v>229.107</v>
      </c>
      <c r="K208"/>
      <c r="L208"/>
      <c r="M208"/>
      <c r="N208"/>
      <c r="O208" s="56"/>
      <c r="P208"/>
      <c r="Q208"/>
      <c r="R208"/>
      <c r="S208"/>
      <c r="T208"/>
      <c r="U208"/>
      <c r="V208" s="156"/>
      <c r="W208"/>
      <c r="X208"/>
      <c r="Y208" s="147"/>
      <c r="Z208" s="202"/>
      <c r="AA208" s="147"/>
      <c r="AB208"/>
      <c r="AE208" s="148"/>
      <c r="AF208" s="148"/>
      <c r="AG208" s="148"/>
      <c r="AH208" s="148"/>
      <c r="AI208" s="148"/>
      <c r="AJ208" s="148"/>
      <c r="AK208" s="14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 s="63" t="s">
        <v>21</v>
      </c>
      <c r="B209" s="66" t="str">
        <f>_xlfn.IFNA(INDEX(Table_INPUT_2D[X],MATCH(Table8[[#This Row],[UID]],Table_INPUT_2D[Unique ID],0)),"")</f>
        <v/>
      </c>
      <c r="C209" s="66" t="str">
        <f>_xlfn.IFNA(INDEX(Table_INPUT_2D[Y],MATCH(Table8[[#This Row],[UID]],Table_INPUT_2D[Unique ID],0)),"")</f>
        <v/>
      </c>
      <c r="D209" s="66" t="str">
        <f>_xlfn.IFNA(INDEX(Table_INPUT_2D[Z],MATCH(Table8[[#This Row],[UID]],Table_INPUT_2D[Unique ID],0)),"")</f>
        <v/>
      </c>
      <c r="E209" s="65"/>
      <c r="G209" s="2" t="str">
        <f>IF($A$209 &lt;&gt; "",$A$209, "")</f>
        <v>CLOSE</v>
      </c>
      <c r="H209" s="2" t="str">
        <f>IF($B$209 &lt;&gt; "",$B$209, "")</f>
        <v/>
      </c>
      <c r="I209" s="2" t="str">
        <f>IF($C$209 &lt;&gt; "",$C$209, "")</f>
        <v/>
      </c>
      <c r="J209" s="2" t="str">
        <f>IF($D$209 &lt;&gt; "",$D$209, "")</f>
        <v/>
      </c>
      <c r="K209"/>
      <c r="L209"/>
      <c r="M209"/>
      <c r="N209"/>
      <c r="O209" s="56"/>
      <c r="P209"/>
      <c r="Q209"/>
      <c r="R209"/>
      <c r="S209"/>
      <c r="T209"/>
      <c r="U209"/>
      <c r="V209" s="156"/>
      <c r="W209" t="str">
        <f>$A$80</f>
        <v>MR9012</v>
      </c>
      <c r="X209">
        <v>1</v>
      </c>
      <c r="Y209" s="147">
        <f>$O$80</f>
        <v>119.49018801652906</v>
      </c>
      <c r="Z209" s="202">
        <f>$X$23*($X$209/$X$209)+$Z$207</f>
        <v>-4.8437499994724575E-4</v>
      </c>
      <c r="AA209" s="147">
        <f>$Y$209-$Z$209</f>
        <v>119.490672391529</v>
      </c>
      <c r="AB209"/>
      <c r="AC209" s="148"/>
      <c r="AE209" s="148"/>
      <c r="AF209" s="148"/>
      <c r="AG209" s="148"/>
      <c r="AH209" s="148"/>
      <c r="AI209" s="148"/>
      <c r="AJ209" s="148"/>
      <c r="AK209" s="148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 s="67" t="s">
        <v>123</v>
      </c>
      <c r="B210" s="66">
        <f>_xlfn.IFNA(INDEX(Table_INPUT_2D[X],MATCH(Table8[[#This Row],[UID]],Table_INPUT_2D[Unique ID],0)),"")</f>
        <v>10921.316000000001</v>
      </c>
      <c r="C210" s="66">
        <f>_xlfn.IFNA(INDEX(Table_INPUT_2D[Y],MATCH(Table8[[#This Row],[UID]],Table_INPUT_2D[Unique ID],0)),"")</f>
        <v>4753.1400000000003</v>
      </c>
      <c r="D210" s="66">
        <f>_xlfn.IFNA(INDEX(Table_INPUT_2D[Z],MATCH(Table8[[#This Row],[UID]],Table_INPUT_2D[Unique ID],0)),"")</f>
        <v>223.416</v>
      </c>
      <c r="E210" s="65" t="s">
        <v>298</v>
      </c>
      <c r="G210" s="2" t="str">
        <f>IF($A$210 &lt;&gt; "",$A$210, "")</f>
        <v>MR9060</v>
      </c>
      <c r="H210" s="2">
        <f>IF($B$210 &lt;&gt; "",$B$210, "")</f>
        <v>10921.316000000001</v>
      </c>
      <c r="I210" s="2">
        <f>IF($C$210 &lt;&gt; "",$C$210, "")</f>
        <v>4753.1400000000003</v>
      </c>
      <c r="J210" s="2">
        <f>IF($D$210 &lt;&gt; "",$D$210, "")</f>
        <v>223.416</v>
      </c>
      <c r="K210">
        <f>AVERAGE($H$210,$H$211)</f>
        <v>10921.316000000001</v>
      </c>
      <c r="L210">
        <f>AVERAGE($I$210,$I$211)</f>
        <v>4753.1400000000003</v>
      </c>
      <c r="M210">
        <f>AVERAGE($J$210,$J$211)</f>
        <v>223.41499999999999</v>
      </c>
      <c r="N210"/>
      <c r="O210" s="56">
        <f>$O$212+(-$N$211)</f>
        <v>142.25768801652904</v>
      </c>
      <c r="P210"/>
      <c r="Q210"/>
      <c r="R210"/>
      <c r="S210"/>
      <c r="T210"/>
      <c r="U210"/>
      <c r="V210" s="156"/>
      <c r="W210"/>
      <c r="X210"/>
      <c r="Y210" s="147"/>
      <c r="Z210" s="202"/>
      <c r="AA210" s="147"/>
      <c r="AB210"/>
      <c r="AC210" s="148"/>
      <c r="AE210" s="148"/>
      <c r="AF210" s="148"/>
      <c r="AG210" s="148"/>
      <c r="AH210" s="148"/>
      <c r="AI210" s="148"/>
      <c r="AJ210" s="148"/>
      <c r="AK210" s="148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 s="67" t="s">
        <v>123</v>
      </c>
      <c r="B211" s="66">
        <f>_xlfn.IFNA(INDEX(Table_INPUT_2D[X],MATCH(Table8[[#This Row],[UID]],Table_INPUT_2D[Unique ID],0)),"")</f>
        <v>10921.316000000001</v>
      </c>
      <c r="C211" s="66">
        <f>_xlfn.IFNA(INDEX(Table_INPUT_2D[Y],MATCH(Table8[[#This Row],[UID]],Table_INPUT_2D[Unique ID],0)),"")</f>
        <v>4753.1400000000003</v>
      </c>
      <c r="D211" s="66">
        <f>_xlfn.IFNA(INDEX(Table_INPUT_2D[Z],MATCH(Table8[[#This Row],[UID]],Table_INPUT_2D[Unique ID],0)),"")</f>
        <v>223.41399999999999</v>
      </c>
      <c r="E211" s="65" t="s">
        <v>299</v>
      </c>
      <c r="G211" s="2" t="str">
        <f>IF($A$211 &lt;&gt; "",$A$211, "")</f>
        <v>MR9060</v>
      </c>
      <c r="H211" s="2">
        <f>IF($B$211 &lt;&gt; "",$B$211, "")</f>
        <v>10921.316000000001</v>
      </c>
      <c r="I211" s="2">
        <f>IF($C$211 &lt;&gt; "",$C$211, "")</f>
        <v>4753.1400000000003</v>
      </c>
      <c r="J211" s="2">
        <f>IF($D$211 &lt;&gt; "",$D$211, "")</f>
        <v>223.41399999999999</v>
      </c>
      <c r="K211"/>
      <c r="L211"/>
      <c r="M211"/>
      <c r="N211">
        <f>$M$212-$M$210</f>
        <v>5.6914999999999907</v>
      </c>
      <c r="O211" s="56"/>
      <c r="P211">
        <f>SQRT(($K$212-$K$210)^2 +($L$212-$L$210)^2)</f>
        <v>140.38017093770779</v>
      </c>
      <c r="Q211"/>
      <c r="R211"/>
      <c r="S211"/>
      <c r="T211"/>
      <c r="U211"/>
      <c r="V211" s="156"/>
      <c r="W211" t="str">
        <f>$A$52</f>
        <v>MR9001</v>
      </c>
      <c r="X211">
        <v>1</v>
      </c>
      <c r="Y211" s="147">
        <f>$O$52</f>
        <v>112.03368801652906</v>
      </c>
      <c r="Z211" s="202">
        <f>$X$23*($X$211/$X$211)+$Z$209</f>
        <v>-4.99999999945544E-4</v>
      </c>
      <c r="AA211" s="147">
        <f>$Y$211-$Z$211</f>
        <v>112.034188016529</v>
      </c>
      <c r="AB211"/>
      <c r="AC211" s="148"/>
      <c r="AE211" s="148"/>
      <c r="AF211" s="148"/>
      <c r="AG211" s="148"/>
      <c r="AH211" s="148"/>
      <c r="AI211" s="148"/>
      <c r="AJ211" s="148"/>
      <c r="AK211" s="148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 s="67" t="s">
        <v>130</v>
      </c>
      <c r="B212" s="66">
        <f>_xlfn.IFNA(INDEX(Table_INPUT_2D[X],MATCH(Table8[[#This Row],[UID]],Table_INPUT_2D[Unique ID],0)),"")</f>
        <v>11034.194</v>
      </c>
      <c r="C212" s="66">
        <f>_xlfn.IFNA(INDEX(Table_INPUT_2D[Y],MATCH(Table8[[#This Row],[UID]],Table_INPUT_2D[Unique ID],0)),"")</f>
        <v>4669.6819999999998</v>
      </c>
      <c r="D212" s="66">
        <f>_xlfn.IFNA(INDEX(Table_INPUT_2D[Z],MATCH(Table8[[#This Row],[UID]],Table_INPUT_2D[Unique ID],0)),"")</f>
        <v>229.108</v>
      </c>
      <c r="E212" s="65" t="s">
        <v>314</v>
      </c>
      <c r="G212" s="2" t="str">
        <f>IF($A$212 &lt;&gt; "",$A$212, "")</f>
        <v>MR9067</v>
      </c>
      <c r="H212" s="2">
        <f>IF($B$212 &lt;&gt; "",$B$212, "")</f>
        <v>11034.194</v>
      </c>
      <c r="I212" s="2">
        <f>IF($C$212 &lt;&gt; "",$C$212, "")</f>
        <v>4669.6819999999998</v>
      </c>
      <c r="J212" s="2">
        <f>IF($D$212 &lt;&gt; "",$D$212, "")</f>
        <v>229.108</v>
      </c>
      <c r="K212">
        <f>AVERAGE($H$212,$H$213)</f>
        <v>11034.192500000001</v>
      </c>
      <c r="L212">
        <f>AVERAGE($I$212,$I$213)</f>
        <v>4669.6805000000004</v>
      </c>
      <c r="M212">
        <f>AVERAGE($J$212,$J$213)</f>
        <v>229.10649999999998</v>
      </c>
      <c r="N212"/>
      <c r="O212" s="56">
        <f>$O$232</f>
        <v>147.94918801652904</v>
      </c>
      <c r="P212"/>
      <c r="Q212"/>
      <c r="R212"/>
      <c r="S212"/>
      <c r="T212"/>
      <c r="U212"/>
      <c r="V212" s="156"/>
      <c r="W212"/>
      <c r="X212"/>
      <c r="Y212"/>
      <c r="Z212"/>
      <c r="AA212"/>
      <c r="AB212"/>
      <c r="AC212" s="148"/>
      <c r="AD212" s="148"/>
      <c r="AE212" s="148"/>
      <c r="AF212" s="148"/>
      <c r="AG212" s="148"/>
      <c r="AH212" s="148"/>
      <c r="AI212" s="148"/>
      <c r="AJ212" s="148"/>
      <c r="AK212" s="148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 s="67" t="s">
        <v>130</v>
      </c>
      <c r="B213" s="66">
        <f>_xlfn.IFNA(INDEX(Table_INPUT_2D[X],MATCH(Table8[[#This Row],[UID]],Table_INPUT_2D[Unique ID],0)),"")</f>
        <v>11034.191000000001</v>
      </c>
      <c r="C213" s="66">
        <f>_xlfn.IFNA(INDEX(Table_INPUT_2D[Y],MATCH(Table8[[#This Row],[UID]],Table_INPUT_2D[Unique ID],0)),"")</f>
        <v>4669.6790000000001</v>
      </c>
      <c r="D213" s="66">
        <f>_xlfn.IFNA(INDEX(Table_INPUT_2D[Z],MATCH(Table8[[#This Row],[UID]],Table_INPUT_2D[Unique ID],0)),"")</f>
        <v>229.10499999999999</v>
      </c>
      <c r="E213" s="65" t="s">
        <v>315</v>
      </c>
      <c r="G213" s="2" t="str">
        <f>IF($A$213 &lt;&gt; "",$A$213, "")</f>
        <v>MR9067</v>
      </c>
      <c r="H213" s="2">
        <f>IF($B$213 &lt;&gt; "",$B$213, "")</f>
        <v>11034.191000000001</v>
      </c>
      <c r="I213" s="2">
        <f>IF($C$213 &lt;&gt; "",$C$213, "")</f>
        <v>4669.6790000000001</v>
      </c>
      <c r="J213" s="2">
        <f>IF($D$213 &lt;&gt; "",$D$213, "")</f>
        <v>229.10499999999999</v>
      </c>
      <c r="K213"/>
      <c r="L213"/>
      <c r="M213"/>
      <c r="N213"/>
      <c r="O213" s="56"/>
      <c r="P213"/>
      <c r="Q213"/>
      <c r="R213"/>
      <c r="S213"/>
      <c r="T213"/>
      <c r="U213"/>
      <c r="V213" s="156"/>
      <c r="W213"/>
      <c r="X213"/>
      <c r="Y213"/>
      <c r="Z213"/>
      <c r="AA213"/>
      <c r="AB213"/>
      <c r="AC213" s="148"/>
      <c r="AD213" s="148"/>
      <c r="AE213" s="148"/>
      <c r="AF213" s="148"/>
      <c r="AG213" s="148"/>
      <c r="AH213" s="148"/>
      <c r="AI213" s="148"/>
      <c r="AJ213" s="148"/>
      <c r="AK213" s="148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 s="63" t="s">
        <v>22</v>
      </c>
      <c r="B214" s="66" t="str">
        <f>_xlfn.IFNA(INDEX(Table_INPUT_2D[X],MATCH(Table8[[#This Row],[UID]],Table_INPUT_2D[Unique ID],0)),"")</f>
        <v/>
      </c>
      <c r="C214" s="66" t="str">
        <f>_xlfn.IFNA(INDEX(Table_INPUT_2D[Y],MATCH(Table8[[#This Row],[UID]],Table_INPUT_2D[Unique ID],0)),"")</f>
        <v/>
      </c>
      <c r="D214" s="66" t="str">
        <f>_xlfn.IFNA(INDEX(Table_INPUT_2D[Z],MATCH(Table8[[#This Row],[UID]],Table_INPUT_2D[Unique ID],0)),"")</f>
        <v/>
      </c>
      <c r="E214" s="65"/>
      <c r="G214" s="2" t="str">
        <f>IF($A$214 &lt;&gt; "",$A$214, "")</f>
        <v>STATION</v>
      </c>
      <c r="H214" s="2" t="str">
        <f>IF($B$214 &lt;&gt; "",$B$214, "")</f>
        <v/>
      </c>
      <c r="I214" s="2" t="str">
        <f>IF($C$214 &lt;&gt; "",$C$214, "")</f>
        <v/>
      </c>
      <c r="J214" s="2" t="str">
        <f>IF($D$214 &lt;&gt; "",$D$214, "")</f>
        <v/>
      </c>
      <c r="K214"/>
      <c r="L214"/>
      <c r="M214"/>
      <c r="N214"/>
      <c r="O214" s="56"/>
      <c r="P214"/>
      <c r="Q214"/>
      <c r="R214"/>
      <c r="S214"/>
      <c r="T214"/>
      <c r="U214"/>
      <c r="V214" s="156"/>
      <c r="W214"/>
      <c r="X214"/>
      <c r="Y214"/>
      <c r="Z214"/>
      <c r="AA214"/>
      <c r="AB214"/>
      <c r="AC214" s="148"/>
      <c r="AD214" s="148"/>
      <c r="AE214" s="148"/>
      <c r="AF214" s="148"/>
      <c r="AG214" s="148"/>
      <c r="AH214" s="148"/>
      <c r="AI214" s="148"/>
      <c r="AJ214" s="148"/>
      <c r="AK214" s="148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 s="67" t="s">
        <v>130</v>
      </c>
      <c r="B215" s="66">
        <f>_xlfn.IFNA(INDEX(Table_INPUT_2D[X],MATCH(Table8[[#This Row],[UID]],Table_INPUT_2D[Unique ID],0)),"")</f>
        <v>11034.19</v>
      </c>
      <c r="C215" s="66">
        <f>_xlfn.IFNA(INDEX(Table_INPUT_2D[Y],MATCH(Table8[[#This Row],[UID]],Table_INPUT_2D[Unique ID],0)),"")</f>
        <v>4669.6819999999998</v>
      </c>
      <c r="D215" s="66">
        <f>_xlfn.IFNA(INDEX(Table_INPUT_2D[Z],MATCH(Table8[[#This Row],[UID]],Table_INPUT_2D[Unique ID],0)),"")</f>
        <v>229.1</v>
      </c>
      <c r="E215" s="65" t="s">
        <v>316</v>
      </c>
      <c r="G215" s="2" t="str">
        <f>IF($A$215 &lt;&gt; "",$A$215, "")</f>
        <v>MR9067</v>
      </c>
      <c r="H215" s="2">
        <f>IF($B$215 &lt;&gt; "",$B$215, "")</f>
        <v>11034.19</v>
      </c>
      <c r="I215" s="2">
        <f>IF($C$215 &lt;&gt; "",$C$215, "")</f>
        <v>4669.6819999999998</v>
      </c>
      <c r="J215" s="2">
        <f>IF($D$215 &lt;&gt; "",$D$215, "")</f>
        <v>229.1</v>
      </c>
      <c r="K215">
        <f>AVERAGE($H$215,$H$216)</f>
        <v>11034.190500000001</v>
      </c>
      <c r="L215">
        <f>AVERAGE($I$215,$I$216)</f>
        <v>4669.6810000000005</v>
      </c>
      <c r="M215">
        <f>AVERAGE($J$215,$J$216)</f>
        <v>229.10050000000001</v>
      </c>
      <c r="N215"/>
      <c r="O215" s="56">
        <f>$O$207</f>
        <v>147.94968801652905</v>
      </c>
      <c r="P215"/>
      <c r="Q215"/>
      <c r="R215"/>
      <c r="S215"/>
      <c r="T215"/>
      <c r="U215"/>
      <c r="V215" s="156"/>
      <c r="W215"/>
      <c r="X215"/>
      <c r="Y215"/>
      <c r="Z215"/>
      <c r="AA215"/>
      <c r="AB215"/>
      <c r="AC215" s="148"/>
      <c r="AD215" s="148"/>
      <c r="AE215" s="148"/>
      <c r="AF215" s="148"/>
      <c r="AG215" s="148"/>
      <c r="AH215" s="148"/>
      <c r="AI215" s="148"/>
      <c r="AJ215" s="148"/>
      <c r="AK215" s="148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 s="67" t="s">
        <v>130</v>
      </c>
      <c r="B216" s="66">
        <f>_xlfn.IFNA(INDEX(Table_INPUT_2D[X],MATCH(Table8[[#This Row],[UID]],Table_INPUT_2D[Unique ID],0)),"")</f>
        <v>11034.191000000001</v>
      </c>
      <c r="C216" s="66">
        <f>_xlfn.IFNA(INDEX(Table_INPUT_2D[Y],MATCH(Table8[[#This Row],[UID]],Table_INPUT_2D[Unique ID],0)),"")</f>
        <v>4669.68</v>
      </c>
      <c r="D216" s="66">
        <f>_xlfn.IFNA(INDEX(Table_INPUT_2D[Z],MATCH(Table8[[#This Row],[UID]],Table_INPUT_2D[Unique ID],0)),"")</f>
        <v>229.101</v>
      </c>
      <c r="E216" s="65" t="s">
        <v>317</v>
      </c>
      <c r="G216" s="2" t="str">
        <f>IF($A$216 &lt;&gt; "",$A$216, "")</f>
        <v>MR9067</v>
      </c>
      <c r="H216" s="2">
        <f>IF($B$216 &lt;&gt; "",$B$216, "")</f>
        <v>11034.191000000001</v>
      </c>
      <c r="I216" s="2">
        <f>IF($C$216 &lt;&gt; "",$C$216, "")</f>
        <v>4669.68</v>
      </c>
      <c r="J216" s="2">
        <f>IF($D$216 &lt;&gt; "",$D$216, "")</f>
        <v>229.101</v>
      </c>
      <c r="K216"/>
      <c r="L216"/>
      <c r="M216"/>
      <c r="N216">
        <f>$M$217-$M$215</f>
        <v>1.6674999999999898</v>
      </c>
      <c r="O216" s="56"/>
      <c r="P216">
        <f>SQRT(($K$217-$K$215)^2 +($L$217-$L$215)^2)</f>
        <v>20.022202307688168</v>
      </c>
      <c r="Q216"/>
      <c r="R216"/>
      <c r="S216"/>
      <c r="T216"/>
      <c r="U216"/>
      <c r="V216" s="156"/>
      <c r="W216"/>
      <c r="X216"/>
      <c r="Y216"/>
      <c r="Z216"/>
      <c r="AA216"/>
      <c r="AB216"/>
      <c r="AC216" s="148"/>
      <c r="AD216" s="148"/>
      <c r="AE216" s="148"/>
      <c r="AF216" s="148"/>
      <c r="AG216" s="148"/>
      <c r="AH216" s="148"/>
      <c r="AI216" s="148"/>
      <c r="AJ216" s="148"/>
      <c r="AK216" s="148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 s="67" t="s">
        <v>131</v>
      </c>
      <c r="B217" s="66">
        <f>_xlfn.IFNA(INDEX(Table_INPUT_2D[X],MATCH(Table8[[#This Row],[UID]],Table_INPUT_2D[Unique ID],0)),"")</f>
        <v>11050.055</v>
      </c>
      <c r="C217" s="66">
        <f>_xlfn.IFNA(INDEX(Table_INPUT_2D[Y],MATCH(Table8[[#This Row],[UID]],Table_INPUT_2D[Unique ID],0)),"")</f>
        <v>4657.4660000000003</v>
      </c>
      <c r="D217" s="66">
        <f>_xlfn.IFNA(INDEX(Table_INPUT_2D[Z],MATCH(Table8[[#This Row],[UID]],Table_INPUT_2D[Unique ID],0)),"")</f>
        <v>230.767</v>
      </c>
      <c r="E217" s="65" t="s">
        <v>320</v>
      </c>
      <c r="G217" s="2" t="str">
        <f>IF($A$217 &lt;&gt; "",$A$217, "")</f>
        <v>MR9068</v>
      </c>
      <c r="H217" s="2">
        <f>IF($B$217 &lt;&gt; "",$B$217, "")</f>
        <v>11050.055</v>
      </c>
      <c r="I217" s="2">
        <f>IF($C$217 &lt;&gt; "",$C$217, "")</f>
        <v>4657.4660000000003</v>
      </c>
      <c r="J217" s="2">
        <f>IF($D$217 &lt;&gt; "",$D$217, "")</f>
        <v>230.767</v>
      </c>
      <c r="K217">
        <f>AVERAGE($H$217,$H$218)</f>
        <v>11050.055</v>
      </c>
      <c r="L217">
        <f>AVERAGE($I$217,$I$218)</f>
        <v>4657.4660000000003</v>
      </c>
      <c r="M217">
        <f>AVERAGE($J$217,$J$218)</f>
        <v>230.768</v>
      </c>
      <c r="N217"/>
      <c r="O217" s="56">
        <f>$O$215+($N$216)</f>
        <v>149.61718801652904</v>
      </c>
      <c r="P217"/>
      <c r="Q217"/>
      <c r="R217"/>
      <c r="S217"/>
      <c r="T217"/>
      <c r="U217"/>
      <c r="V217" s="156"/>
      <c r="W217"/>
      <c r="X217"/>
      <c r="Y217"/>
      <c r="Z217"/>
      <c r="AA217"/>
      <c r="AB217"/>
      <c r="AE217" s="148"/>
      <c r="AF217" s="148"/>
      <c r="AG217" s="148"/>
      <c r="AH217" s="148"/>
      <c r="AI217" s="148"/>
      <c r="AJ217" s="148"/>
      <c r="AK217" s="148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 s="67" t="s">
        <v>131</v>
      </c>
      <c r="B218" s="66">
        <f>_xlfn.IFNA(INDEX(Table_INPUT_2D[X],MATCH(Table8[[#This Row],[UID]],Table_INPUT_2D[Unique ID],0)),"")</f>
        <v>11050.055</v>
      </c>
      <c r="C218" s="66">
        <f>_xlfn.IFNA(INDEX(Table_INPUT_2D[Y],MATCH(Table8[[#This Row],[UID]],Table_INPUT_2D[Unique ID],0)),"")</f>
        <v>4657.4660000000003</v>
      </c>
      <c r="D218" s="66">
        <f>_xlfn.IFNA(INDEX(Table_INPUT_2D[Z],MATCH(Table8[[#This Row],[UID]],Table_INPUT_2D[Unique ID],0)),"")</f>
        <v>230.76900000000001</v>
      </c>
      <c r="E218" s="65" t="s">
        <v>321</v>
      </c>
      <c r="G218" s="2" t="str">
        <f>IF($A$218 &lt;&gt; "",$A$218, "")</f>
        <v>MR9068</v>
      </c>
      <c r="H218" s="2">
        <f>IF($B$218 &lt;&gt; "",$B$218, "")</f>
        <v>11050.055</v>
      </c>
      <c r="I218" s="2">
        <f>IF($C$218 &lt;&gt; "",$C$218, "")</f>
        <v>4657.4660000000003</v>
      </c>
      <c r="J218" s="2">
        <f>IF($D$218 &lt;&gt; "",$D$218, "")</f>
        <v>230.76900000000001</v>
      </c>
      <c r="K218"/>
      <c r="L218"/>
      <c r="M218"/>
      <c r="N218">
        <f>$M$219-$M$217</f>
        <v>1.7439999999999998</v>
      </c>
      <c r="O218" s="56"/>
      <c r="P218">
        <f>SQRT(($K$219-$K$217)^2 +($L$219-$L$217)^2)</f>
        <v>19.747360431207085</v>
      </c>
      <c r="Q218"/>
      <c r="R218"/>
      <c r="S218"/>
      <c r="T218"/>
      <c r="U218"/>
      <c r="V218" s="156"/>
      <c r="W218"/>
      <c r="X218"/>
      <c r="Y218"/>
      <c r="Z218"/>
      <c r="AA218"/>
      <c r="AB218"/>
      <c r="AE218" s="148"/>
      <c r="AF218" s="148"/>
      <c r="AG218" s="148"/>
      <c r="AH218" s="148"/>
      <c r="AI218" s="148"/>
      <c r="AJ218" s="148"/>
      <c r="AK218" s="14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 s="67" t="s">
        <v>132</v>
      </c>
      <c r="B219" s="66">
        <f>_xlfn.IFNA(INDEX(Table_INPUT_2D[X],MATCH(Table8[[#This Row],[UID]],Table_INPUT_2D[Unique ID],0)),"")</f>
        <v>11065.367</v>
      </c>
      <c r="C219" s="66">
        <f>_xlfn.IFNA(INDEX(Table_INPUT_2D[Y],MATCH(Table8[[#This Row],[UID]],Table_INPUT_2D[Unique ID],0)),"")</f>
        <v>4644.9960000000001</v>
      </c>
      <c r="D219" s="66">
        <f>_xlfn.IFNA(INDEX(Table_INPUT_2D[Z],MATCH(Table8[[#This Row],[UID]],Table_INPUT_2D[Unique ID],0)),"")</f>
        <v>232.51300000000001</v>
      </c>
      <c r="E219" s="65" t="s">
        <v>322</v>
      </c>
      <c r="G219" s="2" t="str">
        <f>IF($A$219 &lt;&gt; "",$A$219, "")</f>
        <v>MR9069</v>
      </c>
      <c r="H219" s="2">
        <f>IF($B$219 &lt;&gt; "",$B$219, "")</f>
        <v>11065.367</v>
      </c>
      <c r="I219" s="2">
        <f>IF($C$219 &lt;&gt; "",$C$219, "")</f>
        <v>4644.9960000000001</v>
      </c>
      <c r="J219" s="2">
        <f>IF($D$219 &lt;&gt; "",$D$219, "")</f>
        <v>232.51300000000001</v>
      </c>
      <c r="K219">
        <f>AVERAGE($H$219,$H$220)</f>
        <v>11065.367</v>
      </c>
      <c r="L219">
        <f>AVERAGE($I$219,$I$220)</f>
        <v>4644.9960000000001</v>
      </c>
      <c r="M219">
        <f>AVERAGE($J$219,$J$220)</f>
        <v>232.512</v>
      </c>
      <c r="N219"/>
      <c r="O219" s="56">
        <f>$O$217+($N$218)</f>
        <v>151.36118801652904</v>
      </c>
      <c r="P219"/>
      <c r="Q219"/>
      <c r="R219"/>
      <c r="S219"/>
      <c r="T219"/>
      <c r="U219"/>
      <c r="V219" s="156"/>
      <c r="W219"/>
      <c r="X219"/>
      <c r="Y219"/>
      <c r="Z219"/>
      <c r="AA219"/>
      <c r="AB219"/>
      <c r="AE219" s="148"/>
      <c r="AF219" s="148"/>
      <c r="AG219" s="148"/>
      <c r="AH219" s="148"/>
      <c r="AI219" s="148"/>
      <c r="AJ219" s="148"/>
      <c r="AK219" s="148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 s="67" t="s">
        <v>132</v>
      </c>
      <c r="B220" s="66">
        <f>_xlfn.IFNA(INDEX(Table_INPUT_2D[X],MATCH(Table8[[#This Row],[UID]],Table_INPUT_2D[Unique ID],0)),"")</f>
        <v>11065.367</v>
      </c>
      <c r="C220" s="66">
        <f>_xlfn.IFNA(INDEX(Table_INPUT_2D[Y],MATCH(Table8[[#This Row],[UID]],Table_INPUT_2D[Unique ID],0)),"")</f>
        <v>4644.9960000000001</v>
      </c>
      <c r="D220" s="66">
        <f>_xlfn.IFNA(INDEX(Table_INPUT_2D[Z],MATCH(Table8[[#This Row],[UID]],Table_INPUT_2D[Unique ID],0)),"")</f>
        <v>232.511</v>
      </c>
      <c r="E220" s="65" t="s">
        <v>323</v>
      </c>
      <c r="G220" s="2" t="str">
        <f>IF($A$220 &lt;&gt; "",$A$220, "")</f>
        <v>MR9069</v>
      </c>
      <c r="H220" s="2">
        <f>IF($B$220 &lt;&gt; "",$B$220, "")</f>
        <v>11065.367</v>
      </c>
      <c r="I220" s="2">
        <f>IF($C$220 &lt;&gt; "",$C$220, "")</f>
        <v>4644.9960000000001</v>
      </c>
      <c r="J220" s="2">
        <f>IF($D$220 &lt;&gt; "",$D$220, "")</f>
        <v>232.511</v>
      </c>
      <c r="K220"/>
      <c r="L220"/>
      <c r="M220"/>
      <c r="N220">
        <f>$M$221-$M$219</f>
        <v>1.9619999999999891</v>
      </c>
      <c r="O220" s="56"/>
      <c r="P220">
        <f>SQRT(($K$221-$K$219)^2 +($L$221-$L$219)^2)</f>
        <v>21.080644184891856</v>
      </c>
      <c r="Q220"/>
      <c r="R220"/>
      <c r="S220"/>
      <c r="T220"/>
      <c r="U220"/>
      <c r="V220" s="156"/>
      <c r="W220"/>
      <c r="X220"/>
      <c r="Y220"/>
      <c r="Z220"/>
      <c r="AA220"/>
      <c r="AB220"/>
      <c r="AE220" s="148"/>
      <c r="AF220" s="148"/>
      <c r="AG220" s="148"/>
      <c r="AH220" s="148"/>
      <c r="AI220" s="148"/>
      <c r="AJ220" s="148"/>
      <c r="AK220" s="148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 s="67" t="s">
        <v>133</v>
      </c>
      <c r="B221" s="66">
        <f>_xlfn.IFNA(INDEX(Table_INPUT_2D[X],MATCH(Table8[[#This Row],[UID]],Table_INPUT_2D[Unique ID],0)),"")</f>
        <v>11081.956</v>
      </c>
      <c r="C221" s="66">
        <f>_xlfn.IFNA(INDEX(Table_INPUT_2D[Y],MATCH(Table8[[#This Row],[UID]],Table_INPUT_2D[Unique ID],0)),"")</f>
        <v>4631.9889999999996</v>
      </c>
      <c r="D221" s="66">
        <f>_xlfn.IFNA(INDEX(Table_INPUT_2D[Z],MATCH(Table8[[#This Row],[UID]],Table_INPUT_2D[Unique ID],0)),"")</f>
        <v>234.47300000000001</v>
      </c>
      <c r="E221" s="65" t="s">
        <v>324</v>
      </c>
      <c r="G221" s="2" t="str">
        <f>IF($A$221 &lt;&gt; "",$A$221, "")</f>
        <v>MR9070</v>
      </c>
      <c r="H221" s="2">
        <f>IF($B$221 &lt;&gt; "",$B$221, "")</f>
        <v>11081.956</v>
      </c>
      <c r="I221" s="2">
        <f>IF($C$221 &lt;&gt; "",$C$221, "")</f>
        <v>4631.9889999999996</v>
      </c>
      <c r="J221" s="2">
        <f>IF($D$221 &lt;&gt; "",$D$221, "")</f>
        <v>234.47300000000001</v>
      </c>
      <c r="K221">
        <f>AVERAGE($H$221,$H$222)</f>
        <v>11081.9565</v>
      </c>
      <c r="L221">
        <f>AVERAGE($I$221,$I$222)</f>
        <v>4631.9889999999996</v>
      </c>
      <c r="M221">
        <f>AVERAGE($J$221,$J$222)</f>
        <v>234.47399999999999</v>
      </c>
      <c r="N221"/>
      <c r="O221" s="56">
        <f>$O$219+($N$220)</f>
        <v>153.32318801652903</v>
      </c>
      <c r="P221"/>
      <c r="Q221"/>
      <c r="R221"/>
      <c r="S221"/>
      <c r="T221"/>
      <c r="U221"/>
      <c r="V221" s="156"/>
      <c r="W221"/>
      <c r="X221"/>
      <c r="Y221"/>
      <c r="Z221"/>
      <c r="AA221"/>
      <c r="AB221"/>
      <c r="AE221" s="148"/>
      <c r="AF221" s="148"/>
      <c r="AG221" s="148"/>
      <c r="AH221" s="148"/>
      <c r="AI221" s="148"/>
      <c r="AJ221" s="148"/>
      <c r="AK221" s="148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 s="67" t="s">
        <v>133</v>
      </c>
      <c r="B222" s="66">
        <f>_xlfn.IFNA(INDEX(Table_INPUT_2D[X],MATCH(Table8[[#This Row],[UID]],Table_INPUT_2D[Unique ID],0)),"")</f>
        <v>11081.957</v>
      </c>
      <c r="C222" s="66">
        <f>_xlfn.IFNA(INDEX(Table_INPUT_2D[Y],MATCH(Table8[[#This Row],[UID]],Table_INPUT_2D[Unique ID],0)),"")</f>
        <v>4631.9889999999996</v>
      </c>
      <c r="D222" s="66">
        <f>_xlfn.IFNA(INDEX(Table_INPUT_2D[Z],MATCH(Table8[[#This Row],[UID]],Table_INPUT_2D[Unique ID],0)),"")</f>
        <v>234.47499999999999</v>
      </c>
      <c r="E222" s="65" t="s">
        <v>325</v>
      </c>
      <c r="G222" s="2" t="str">
        <f>IF($A$222 &lt;&gt; "",$A$222, "")</f>
        <v>MR9070</v>
      </c>
      <c r="H222" s="2">
        <f>IF($B$222 &lt;&gt; "",$B$222, "")</f>
        <v>11081.957</v>
      </c>
      <c r="I222" s="2">
        <f>IF($C$222 &lt;&gt; "",$C$222, "")</f>
        <v>4631.9889999999996</v>
      </c>
      <c r="J222" s="2">
        <f>IF($D$222 &lt;&gt; "",$D$222, "")</f>
        <v>234.47499999999999</v>
      </c>
      <c r="K222"/>
      <c r="L222"/>
      <c r="M222"/>
      <c r="N222">
        <f>$M$223-$M$221</f>
        <v>1.6009999999999991</v>
      </c>
      <c r="O222" s="56"/>
      <c r="P222">
        <f>SQRT(($K$223-$K$221)^2 +($L$223-$L$221)^2)</f>
        <v>19.639269487431655</v>
      </c>
      <c r="Q222"/>
      <c r="R222"/>
      <c r="S222"/>
      <c r="T222"/>
      <c r="U222"/>
      <c r="V222" s="156"/>
      <c r="W222"/>
      <c r="X222"/>
      <c r="Y222"/>
      <c r="Z222"/>
      <c r="AA222"/>
      <c r="AB222"/>
      <c r="AE222" s="148"/>
      <c r="AF222" s="148"/>
      <c r="AG222" s="148"/>
      <c r="AH222" s="148"/>
      <c r="AI222" s="148"/>
      <c r="AJ222" s="148"/>
      <c r="AK222" s="148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 s="67" t="s">
        <v>134</v>
      </c>
      <c r="B223" s="66">
        <f>_xlfn.IFNA(INDEX(Table_INPUT_2D[X],MATCH(Table8[[#This Row],[UID]],Table_INPUT_2D[Unique ID],0)),"")</f>
        <v>11097.472</v>
      </c>
      <c r="C223" s="66">
        <f>_xlfn.IFNA(INDEX(Table_INPUT_2D[Y],MATCH(Table8[[#This Row],[UID]],Table_INPUT_2D[Unique ID],0)),"")</f>
        <v>4619.9480000000003</v>
      </c>
      <c r="D223" s="66">
        <f>_xlfn.IFNA(INDEX(Table_INPUT_2D[Z],MATCH(Table8[[#This Row],[UID]],Table_INPUT_2D[Unique ID],0)),"")</f>
        <v>236.07599999999999</v>
      </c>
      <c r="E223" s="65" t="s">
        <v>326</v>
      </c>
      <c r="G223" s="2" t="str">
        <f>IF($A$223 &lt;&gt; "",$A$223, "")</f>
        <v>MR9071</v>
      </c>
      <c r="H223" s="2">
        <f>IF($B$223 &lt;&gt; "",$B$223, "")</f>
        <v>11097.472</v>
      </c>
      <c r="I223" s="2">
        <f>IF($C$223 &lt;&gt; "",$C$223, "")</f>
        <v>4619.9480000000003</v>
      </c>
      <c r="J223" s="2">
        <f>IF($D$223 &lt;&gt; "",$D$223, "")</f>
        <v>236.07599999999999</v>
      </c>
      <c r="K223">
        <f>AVERAGE($H$223,$H$224)</f>
        <v>11097.4715</v>
      </c>
      <c r="L223">
        <f>AVERAGE($I$223,$I$224)</f>
        <v>4619.9480000000003</v>
      </c>
      <c r="M223">
        <f>AVERAGE($J$223,$J$224)</f>
        <v>236.07499999999999</v>
      </c>
      <c r="N223"/>
      <c r="O223" s="56">
        <f>$O$221+($N$222)</f>
        <v>154.92418801652903</v>
      </c>
      <c r="P223"/>
      <c r="Q223"/>
      <c r="R223"/>
      <c r="S223"/>
      <c r="T223"/>
      <c r="U223"/>
      <c r="V223" s="156"/>
      <c r="W223"/>
      <c r="X223"/>
      <c r="Y223"/>
      <c r="Z223"/>
      <c r="AA223"/>
      <c r="AB223"/>
      <c r="AE223" s="148"/>
      <c r="AF223" s="148"/>
      <c r="AG223" s="148"/>
      <c r="AH223" s="148"/>
      <c r="AI223" s="148"/>
      <c r="AJ223" s="148"/>
      <c r="AK223" s="148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 s="67" t="s">
        <v>134</v>
      </c>
      <c r="B224" s="66">
        <f>_xlfn.IFNA(INDEX(Table_INPUT_2D[X],MATCH(Table8[[#This Row],[UID]],Table_INPUT_2D[Unique ID],0)),"")</f>
        <v>11097.471</v>
      </c>
      <c r="C224" s="66">
        <f>_xlfn.IFNA(INDEX(Table_INPUT_2D[Y],MATCH(Table8[[#This Row],[UID]],Table_INPUT_2D[Unique ID],0)),"")</f>
        <v>4619.9480000000003</v>
      </c>
      <c r="D224" s="66">
        <f>_xlfn.IFNA(INDEX(Table_INPUT_2D[Z],MATCH(Table8[[#This Row],[UID]],Table_INPUT_2D[Unique ID],0)),"")</f>
        <v>236.07400000000001</v>
      </c>
      <c r="E224" s="65" t="s">
        <v>327</v>
      </c>
      <c r="G224" s="2" t="str">
        <f>IF($A$224 &lt;&gt; "",$A$224, "")</f>
        <v>MR9071</v>
      </c>
      <c r="H224" s="2">
        <f>IF($B$224 &lt;&gt; "",$B$224, "")</f>
        <v>11097.471</v>
      </c>
      <c r="I224" s="2">
        <f>IF($C$224 &lt;&gt; "",$C$224, "")</f>
        <v>4619.9480000000003</v>
      </c>
      <c r="J224" s="2">
        <f>IF($D$224 &lt;&gt; "",$D$224, "")</f>
        <v>236.07400000000001</v>
      </c>
      <c r="K224"/>
      <c r="L224"/>
      <c r="M224"/>
      <c r="N224">
        <f>$M$225-$M$223</f>
        <v>1.8385000000000105</v>
      </c>
      <c r="O224" s="56"/>
      <c r="P224">
        <f>SQRT(($K$225-$K$223)^2 +($L$225-$L$223)^2)</f>
        <v>19.626680749683178</v>
      </c>
      <c r="Q224"/>
      <c r="R224"/>
      <c r="S224"/>
      <c r="T224"/>
      <c r="U224"/>
      <c r="V224" s="156"/>
      <c r="W224"/>
      <c r="X224"/>
      <c r="Y224"/>
      <c r="Z224"/>
      <c r="AA224"/>
      <c r="AB224"/>
      <c r="AE224" s="148"/>
      <c r="AF224" s="148"/>
      <c r="AG224" s="148"/>
      <c r="AH224" s="148"/>
      <c r="AI224" s="148"/>
      <c r="AJ224" s="148"/>
      <c r="AK224" s="148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 s="67" t="s">
        <v>135</v>
      </c>
      <c r="B225" s="66">
        <f>_xlfn.IFNA(INDEX(Table_INPUT_2D[X],MATCH(Table8[[#This Row],[UID]],Table_INPUT_2D[Unique ID],0)),"")</f>
        <v>11113.138000000001</v>
      </c>
      <c r="C225" s="66">
        <f>_xlfn.IFNA(INDEX(Table_INPUT_2D[Y],MATCH(Table8[[#This Row],[UID]],Table_INPUT_2D[Unique ID],0)),"")</f>
        <v>4608.1270000000004</v>
      </c>
      <c r="D225" s="66">
        <f>_xlfn.IFNA(INDEX(Table_INPUT_2D[Z],MATCH(Table8[[#This Row],[UID]],Table_INPUT_2D[Unique ID],0)),"")</f>
        <v>237.91300000000001</v>
      </c>
      <c r="E225" s="65" t="s">
        <v>328</v>
      </c>
      <c r="G225" s="2" t="str">
        <f>IF($A$225 &lt;&gt; "",$A$225, "")</f>
        <v>MR9072</v>
      </c>
      <c r="H225" s="2">
        <f>IF($B$225 &lt;&gt; "",$B$225, "")</f>
        <v>11113.138000000001</v>
      </c>
      <c r="I225" s="2">
        <f>IF($C$225 &lt;&gt; "",$C$225, "")</f>
        <v>4608.1270000000004</v>
      </c>
      <c r="J225" s="2">
        <f>IF($D$225 &lt;&gt; "",$D$225, "")</f>
        <v>237.91300000000001</v>
      </c>
      <c r="K225">
        <f>AVERAGE($H$225,$H$226)</f>
        <v>11113.138999999999</v>
      </c>
      <c r="L225">
        <f>AVERAGE($I$225,$I$226)</f>
        <v>4608.1270000000004</v>
      </c>
      <c r="M225">
        <f>AVERAGE($J$225,$J$226)</f>
        <v>237.9135</v>
      </c>
      <c r="N225"/>
      <c r="O225" s="56">
        <f>$O$223+($N$224)</f>
        <v>156.76268801652904</v>
      </c>
      <c r="P225"/>
      <c r="Q225"/>
      <c r="R225"/>
      <c r="S225"/>
      <c r="T225"/>
      <c r="U225"/>
      <c r="V225" s="156"/>
      <c r="W225"/>
      <c r="X225"/>
      <c r="Y225"/>
      <c r="Z225"/>
      <c r="AA225"/>
      <c r="AB225"/>
      <c r="AE225" s="148"/>
      <c r="AF225" s="148"/>
      <c r="AG225" s="148"/>
      <c r="AH225" s="148"/>
      <c r="AI225" s="148"/>
      <c r="AJ225" s="148"/>
      <c r="AK225" s="148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 s="67" t="s">
        <v>135</v>
      </c>
      <c r="B226" s="66">
        <f>_xlfn.IFNA(INDEX(Table_INPUT_2D[X],MATCH(Table8[[#This Row],[UID]],Table_INPUT_2D[Unique ID],0)),"")</f>
        <v>11113.14</v>
      </c>
      <c r="C226" s="66">
        <f>_xlfn.IFNA(INDEX(Table_INPUT_2D[Y],MATCH(Table8[[#This Row],[UID]],Table_INPUT_2D[Unique ID],0)),"")</f>
        <v>4608.1270000000004</v>
      </c>
      <c r="D226" s="66">
        <f>_xlfn.IFNA(INDEX(Table_INPUT_2D[Z],MATCH(Table8[[#This Row],[UID]],Table_INPUT_2D[Unique ID],0)),"")</f>
        <v>237.91399999999999</v>
      </c>
      <c r="E226" s="65" t="s">
        <v>329</v>
      </c>
      <c r="G226" s="2" t="str">
        <f>IF($A$226 &lt;&gt; "",$A$226, "")</f>
        <v>MR9072</v>
      </c>
      <c r="H226" s="2">
        <f>IF($B$226 &lt;&gt; "",$B$226, "")</f>
        <v>11113.14</v>
      </c>
      <c r="I226" s="2">
        <f>IF($C$226 &lt;&gt; "",$C$226, "")</f>
        <v>4608.1270000000004</v>
      </c>
      <c r="J226" s="2">
        <f>IF($D$226 &lt;&gt; "",$D$226, "")</f>
        <v>237.91399999999999</v>
      </c>
      <c r="K226"/>
      <c r="L226"/>
      <c r="M226"/>
      <c r="N226">
        <f>$M$227-$M$225</f>
        <v>2.2144999999999868</v>
      </c>
      <c r="O226" s="56"/>
      <c r="P226">
        <f>SQRT(($K$227-$K$225)^2 +($L$227-$L$225)^2)</f>
        <v>23.614221784764034</v>
      </c>
      <c r="Q226"/>
      <c r="R226"/>
      <c r="S226"/>
      <c r="T226"/>
      <c r="U226"/>
      <c r="V226" s="156"/>
      <c r="W226"/>
      <c r="X226"/>
      <c r="Y226"/>
      <c r="Z226"/>
      <c r="AA226"/>
      <c r="AB226"/>
      <c r="AE226" s="148"/>
      <c r="AF226" s="148"/>
      <c r="AG226" s="148"/>
      <c r="AH226" s="148"/>
      <c r="AI226" s="148"/>
      <c r="AJ226" s="148"/>
      <c r="AK226" s="148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 s="67" t="s">
        <v>136</v>
      </c>
      <c r="B227" s="66">
        <f>_xlfn.IFNA(INDEX(Table_INPUT_2D[X],MATCH(Table8[[#This Row],[UID]],Table_INPUT_2D[Unique ID],0)),"")</f>
        <v>11131.751</v>
      </c>
      <c r="C227" s="66">
        <f>_xlfn.IFNA(INDEX(Table_INPUT_2D[Y],MATCH(Table8[[#This Row],[UID]],Table_INPUT_2D[Unique ID],0)),"")</f>
        <v>4593.5919999999996</v>
      </c>
      <c r="D227" s="66">
        <f>_xlfn.IFNA(INDEX(Table_INPUT_2D[Z],MATCH(Table8[[#This Row],[UID]],Table_INPUT_2D[Unique ID],0)),"")</f>
        <v>240.13</v>
      </c>
      <c r="E227" s="65" t="s">
        <v>330</v>
      </c>
      <c r="G227" s="2" t="str">
        <f>IF($A$227 &lt;&gt; "",$A$227, "")</f>
        <v>MR9073</v>
      </c>
      <c r="H227" s="2">
        <f>IF($B$227 &lt;&gt; "",$B$227, "")</f>
        <v>11131.751</v>
      </c>
      <c r="I227" s="2">
        <f>IF($C$227 &lt;&gt; "",$C$227, "")</f>
        <v>4593.5919999999996</v>
      </c>
      <c r="J227" s="2">
        <f>IF($D$227 &lt;&gt; "",$D$227, "")</f>
        <v>240.13</v>
      </c>
      <c r="K227">
        <f>AVERAGE($H$227,$H$228)</f>
        <v>11131.7495</v>
      </c>
      <c r="L227">
        <f>AVERAGE($I$227,$I$228)</f>
        <v>4593.5915000000005</v>
      </c>
      <c r="M227">
        <f>AVERAGE($J$227,$J$228)</f>
        <v>240.12799999999999</v>
      </c>
      <c r="N227"/>
      <c r="O227" s="56">
        <f>$O$225+($N$226)</f>
        <v>158.97718801652903</v>
      </c>
      <c r="P227"/>
      <c r="Q227"/>
      <c r="R227"/>
      <c r="S227"/>
      <c r="T227"/>
      <c r="U227"/>
      <c r="V227" s="156"/>
      <c r="W227"/>
      <c r="X227"/>
      <c r="Y227"/>
      <c r="Z227"/>
      <c r="AA227"/>
      <c r="AB227"/>
      <c r="AE227" s="148"/>
      <c r="AF227" s="148"/>
      <c r="AG227" s="148"/>
      <c r="AH227" s="148"/>
      <c r="AI227" s="148"/>
      <c r="AJ227" s="148"/>
      <c r="AK227" s="148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 s="67" t="s">
        <v>136</v>
      </c>
      <c r="B228" s="66">
        <f>_xlfn.IFNA(INDEX(Table_INPUT_2D[X],MATCH(Table8[[#This Row],[UID]],Table_INPUT_2D[Unique ID],0)),"")</f>
        <v>11131.748</v>
      </c>
      <c r="C228" s="66">
        <f>_xlfn.IFNA(INDEX(Table_INPUT_2D[Y],MATCH(Table8[[#This Row],[UID]],Table_INPUT_2D[Unique ID],0)),"")</f>
        <v>4593.5910000000003</v>
      </c>
      <c r="D228" s="66">
        <f>_xlfn.IFNA(INDEX(Table_INPUT_2D[Z],MATCH(Table8[[#This Row],[UID]],Table_INPUT_2D[Unique ID],0)),"")</f>
        <v>240.126</v>
      </c>
      <c r="E228" s="65" t="s">
        <v>331</v>
      </c>
      <c r="G228" s="2" t="str">
        <f>IF($A$228 &lt;&gt; "",$A$228, "")</f>
        <v>MR9073</v>
      </c>
      <c r="H228" s="2">
        <f>IF($B$228 &lt;&gt; "",$B$228, "")</f>
        <v>11131.748</v>
      </c>
      <c r="I228" s="2">
        <f>IF($C$228 &lt;&gt; "",$C$228, "")</f>
        <v>4593.5910000000003</v>
      </c>
      <c r="J228" s="2">
        <f>IF($D$228 &lt;&gt; "",$D$228, "")</f>
        <v>240.126</v>
      </c>
      <c r="K228"/>
      <c r="L228"/>
      <c r="M228"/>
      <c r="N228">
        <f>$M$229-$M$227</f>
        <v>2.0010000000000332</v>
      </c>
      <c r="O228" s="56"/>
      <c r="P228">
        <f>SQRT(($K$229-$K$227)^2 +($L$229-$L$227)^2)</f>
        <v>19.217492454793096</v>
      </c>
      <c r="Q228"/>
      <c r="R228"/>
      <c r="S228"/>
      <c r="T228"/>
      <c r="U228"/>
      <c r="V228" s="156"/>
      <c r="W228"/>
      <c r="X228"/>
      <c r="Y228"/>
      <c r="Z228"/>
      <c r="AA228"/>
      <c r="AB228"/>
      <c r="AE228" s="148"/>
      <c r="AF228" s="148"/>
      <c r="AG228" s="148"/>
      <c r="AH228" s="148"/>
      <c r="AI228" s="148"/>
      <c r="AJ228" s="148"/>
      <c r="AK228" s="14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 s="67" t="s">
        <v>137</v>
      </c>
      <c r="B229" s="66">
        <f>_xlfn.IFNA(INDEX(Table_INPUT_2D[X],MATCH(Table8[[#This Row],[UID]],Table_INPUT_2D[Unique ID],0)),"")</f>
        <v>11147.573</v>
      </c>
      <c r="C229" s="66">
        <f>_xlfn.IFNA(INDEX(Table_INPUT_2D[Y],MATCH(Table8[[#This Row],[UID]],Table_INPUT_2D[Unique ID],0)),"")</f>
        <v>4582.6869999999999</v>
      </c>
      <c r="D229" s="66">
        <f>_xlfn.IFNA(INDEX(Table_INPUT_2D[Z],MATCH(Table8[[#This Row],[UID]],Table_INPUT_2D[Unique ID],0)),"")</f>
        <v>242.12700000000001</v>
      </c>
      <c r="E229" s="65" t="s">
        <v>332</v>
      </c>
      <c r="G229" s="2" t="str">
        <f>IF($A$229 &lt;&gt; "",$A$229, "")</f>
        <v>MR9074</v>
      </c>
      <c r="H229" s="2">
        <f>IF($B$229 &lt;&gt; "",$B$229, "")</f>
        <v>11147.573</v>
      </c>
      <c r="I229" s="2">
        <f>IF($C$229 &lt;&gt; "",$C$229, "")</f>
        <v>4582.6869999999999</v>
      </c>
      <c r="J229" s="2">
        <f>IF($D$229 &lt;&gt; "",$D$229, "")</f>
        <v>242.12700000000001</v>
      </c>
      <c r="K229">
        <f>AVERAGE($H$229,$H$230)</f>
        <v>11147.574000000001</v>
      </c>
      <c r="L229">
        <f>AVERAGE($I$229,$I$230)</f>
        <v>4582.6875</v>
      </c>
      <c r="M229">
        <f>AVERAGE($J$229,$J$230)</f>
        <v>242.12900000000002</v>
      </c>
      <c r="N229"/>
      <c r="O229" s="56">
        <f>$O$227+($N$228)</f>
        <v>160.97818801652906</v>
      </c>
      <c r="P229"/>
      <c r="Q229"/>
      <c r="R229"/>
      <c r="S229"/>
      <c r="T229"/>
      <c r="U229"/>
      <c r="V229" s="156"/>
      <c r="W229"/>
      <c r="X229"/>
      <c r="Y229"/>
      <c r="Z229"/>
      <c r="AA229"/>
      <c r="AB229"/>
      <c r="AE229" s="148"/>
      <c r="AF229" s="148"/>
      <c r="AG229" s="148"/>
      <c r="AH229" s="148"/>
      <c r="AI229" s="148"/>
      <c r="AJ229" s="148"/>
      <c r="AK229" s="148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 s="67" t="s">
        <v>137</v>
      </c>
      <c r="B230" s="66">
        <f>_xlfn.IFNA(INDEX(Table_INPUT_2D[X],MATCH(Table8[[#This Row],[UID]],Table_INPUT_2D[Unique ID],0)),"")</f>
        <v>11147.575000000001</v>
      </c>
      <c r="C230" s="66">
        <f>_xlfn.IFNA(INDEX(Table_INPUT_2D[Y],MATCH(Table8[[#This Row],[UID]],Table_INPUT_2D[Unique ID],0)),"")</f>
        <v>4582.6880000000001</v>
      </c>
      <c r="D230" s="66">
        <f>_xlfn.IFNA(INDEX(Table_INPUT_2D[Z],MATCH(Table8[[#This Row],[UID]],Table_INPUT_2D[Unique ID],0)),"")</f>
        <v>242.131</v>
      </c>
      <c r="E230" s="65" t="s">
        <v>333</v>
      </c>
      <c r="G230" s="2" t="str">
        <f>IF($A$230 &lt;&gt; "",$A$230, "")</f>
        <v>MR9074</v>
      </c>
      <c r="H230" s="2">
        <f>IF($B$230 &lt;&gt; "",$B$230, "")</f>
        <v>11147.575000000001</v>
      </c>
      <c r="I230" s="2">
        <f>IF($C$230 &lt;&gt; "",$C$230, "")</f>
        <v>4582.6880000000001</v>
      </c>
      <c r="J230" s="2">
        <f>IF($D$230 &lt;&gt; "",$D$230, "")</f>
        <v>242.131</v>
      </c>
      <c r="K230"/>
      <c r="L230"/>
      <c r="M230"/>
      <c r="N230"/>
      <c r="O230" s="56"/>
      <c r="P230"/>
      <c r="Q230"/>
      <c r="R230"/>
      <c r="S230"/>
      <c r="T230"/>
      <c r="U230"/>
      <c r="V230" s="156"/>
      <c r="W230"/>
      <c r="X230"/>
      <c r="Y230"/>
      <c r="Z230"/>
      <c r="AA230"/>
      <c r="AB230"/>
      <c r="AE230" s="148"/>
      <c r="AF230" s="148"/>
      <c r="AG230" s="148"/>
      <c r="AH230" s="148"/>
      <c r="AI230" s="148"/>
      <c r="AJ230" s="148"/>
      <c r="AK230" s="148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 s="63" t="s">
        <v>21</v>
      </c>
      <c r="B231" s="66" t="str">
        <f>_xlfn.IFNA(INDEX(Table_INPUT_2D[X],MATCH(Table8[[#This Row],[UID]],Table_INPUT_2D[Unique ID],0)),"")</f>
        <v/>
      </c>
      <c r="C231" s="66" t="str">
        <f>_xlfn.IFNA(INDEX(Table_INPUT_2D[Y],MATCH(Table8[[#This Row],[UID]],Table_INPUT_2D[Unique ID],0)),"")</f>
        <v/>
      </c>
      <c r="D231" s="66" t="str">
        <f>_xlfn.IFNA(INDEX(Table_INPUT_2D[Z],MATCH(Table8[[#This Row],[UID]],Table_INPUT_2D[Unique ID],0)),"")</f>
        <v/>
      </c>
      <c r="E231" s="65"/>
      <c r="G231" s="2" t="str">
        <f>IF($A$231 &lt;&gt; "",$A$231, "")</f>
        <v>CLOSE</v>
      </c>
      <c r="H231" s="2" t="str">
        <f>IF($B$231 &lt;&gt; "",$B$231, "")</f>
        <v/>
      </c>
      <c r="I231" s="2" t="str">
        <f>IF($C$231 &lt;&gt; "",$C$231, "")</f>
        <v/>
      </c>
      <c r="J231" s="2" t="str">
        <f>IF($D$231 &lt;&gt; "",$D$231, "")</f>
        <v/>
      </c>
      <c r="K231"/>
      <c r="L231"/>
      <c r="M231"/>
      <c r="N231"/>
      <c r="O231" s="56"/>
      <c r="P231"/>
      <c r="Q231"/>
      <c r="R231"/>
      <c r="S231"/>
      <c r="T231"/>
      <c r="U231"/>
      <c r="V231"/>
      <c r="W231"/>
      <c r="X231"/>
      <c r="Y231"/>
      <c r="Z231"/>
      <c r="AA231"/>
      <c r="AB231"/>
      <c r="AE231" s="148"/>
      <c r="AF231" s="148"/>
      <c r="AG231" s="148"/>
      <c r="AH231" s="148"/>
      <c r="AI231" s="148"/>
      <c r="AJ231" s="148"/>
      <c r="AK231" s="148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 s="67" t="s">
        <v>130</v>
      </c>
      <c r="B232" s="66">
        <f>_xlfn.IFNA(INDEX(Table_INPUT_2D[X],MATCH(Table8[[#This Row],[UID]],Table_INPUT_2D[Unique ID],0)),"")</f>
        <v>11034.19</v>
      </c>
      <c r="C232" s="66">
        <f>_xlfn.IFNA(INDEX(Table_INPUT_2D[Y],MATCH(Table8[[#This Row],[UID]],Table_INPUT_2D[Unique ID],0)),"")</f>
        <v>4669.6790000000001</v>
      </c>
      <c r="D232" s="66">
        <f>_xlfn.IFNA(INDEX(Table_INPUT_2D[Z],MATCH(Table8[[#This Row],[UID]],Table_INPUT_2D[Unique ID],0)),"")</f>
        <v>229.102</v>
      </c>
      <c r="E232" s="65" t="s">
        <v>318</v>
      </c>
      <c r="G232" s="2" t="str">
        <f>IF($A$232 &lt;&gt; "",$A$232, "")</f>
        <v>MR9067</v>
      </c>
      <c r="H232" s="2">
        <f>IF($B$232 &lt;&gt; "",$B$232, "")</f>
        <v>11034.19</v>
      </c>
      <c r="I232" s="2">
        <f>IF($C$232 &lt;&gt; "",$C$232, "")</f>
        <v>4669.6790000000001</v>
      </c>
      <c r="J232" s="2">
        <f>IF($D$232 &lt;&gt; "",$D$232, "")</f>
        <v>229.102</v>
      </c>
      <c r="K232">
        <f>AVERAGE($H$232,$H$233)</f>
        <v>11034.19</v>
      </c>
      <c r="L232">
        <f>AVERAGE($I$232,$I$233)</f>
        <v>4669.6795000000002</v>
      </c>
      <c r="M232">
        <f>AVERAGE($J$232,$J$233)</f>
        <v>229.101</v>
      </c>
      <c r="N232"/>
      <c r="O232" s="56">
        <f>$O$234+(-$N$233)</f>
        <v>147.94918801652904</v>
      </c>
      <c r="P232"/>
      <c r="Q232"/>
      <c r="R232"/>
      <c r="S232"/>
      <c r="T232"/>
      <c r="U232"/>
      <c r="V232"/>
      <c r="W232"/>
      <c r="X232"/>
      <c r="Y232"/>
      <c r="Z232"/>
      <c r="AA232"/>
      <c r="AB232"/>
      <c r="AE232" s="148"/>
      <c r="AF232" s="148"/>
      <c r="AG232" s="148"/>
      <c r="AH232" s="148"/>
      <c r="AI232" s="148"/>
      <c r="AJ232" s="148"/>
      <c r="AK232" s="148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 s="67" t="s">
        <v>130</v>
      </c>
      <c r="B233" s="66">
        <f>_xlfn.IFNA(INDEX(Table_INPUT_2D[X],MATCH(Table8[[#This Row],[UID]],Table_INPUT_2D[Unique ID],0)),"")</f>
        <v>11034.19</v>
      </c>
      <c r="C233" s="66">
        <f>_xlfn.IFNA(INDEX(Table_INPUT_2D[Y],MATCH(Table8[[#This Row],[UID]],Table_INPUT_2D[Unique ID],0)),"")</f>
        <v>4669.68</v>
      </c>
      <c r="D233" s="66">
        <f>_xlfn.IFNA(INDEX(Table_INPUT_2D[Z],MATCH(Table8[[#This Row],[UID]],Table_INPUT_2D[Unique ID],0)),"")</f>
        <v>229.1</v>
      </c>
      <c r="E233" s="65" t="s">
        <v>319</v>
      </c>
      <c r="G233" s="2" t="str">
        <f>IF($A$233 &lt;&gt; "",$A$233, "")</f>
        <v>MR9067</v>
      </c>
      <c r="H233" s="2">
        <f>IF($B$233 &lt;&gt; "",$B$233, "")</f>
        <v>11034.19</v>
      </c>
      <c r="I233" s="2">
        <f>IF($C$233 &lt;&gt; "",$C$233, "")</f>
        <v>4669.68</v>
      </c>
      <c r="J233" s="2">
        <f>IF($D$233 &lt;&gt; "",$D$233, "")</f>
        <v>229.1</v>
      </c>
      <c r="K233"/>
      <c r="L233"/>
      <c r="M233"/>
      <c r="N233">
        <f>$M$234-$M$232</f>
        <v>13.02800000000002</v>
      </c>
      <c r="O233" s="56"/>
      <c r="P233">
        <f>SQRT(($K$234-$K$232)^2 +($L$234-$L$232)^2)</f>
        <v>142.91143865083041</v>
      </c>
      <c r="Q233"/>
      <c r="R233"/>
      <c r="S233"/>
      <c r="T233"/>
      <c r="U233"/>
      <c r="V233"/>
      <c r="W233"/>
      <c r="X233"/>
      <c r="Y233"/>
      <c r="Z233"/>
      <c r="AA233"/>
      <c r="AB233"/>
      <c r="AE233" s="148"/>
      <c r="AF233" s="148"/>
      <c r="AG233" s="148"/>
      <c r="AH233" s="148"/>
      <c r="AI233" s="148"/>
      <c r="AJ233" s="148"/>
      <c r="AK233" s="148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 s="67" t="s">
        <v>137</v>
      </c>
      <c r="B234" s="66">
        <f>_xlfn.IFNA(INDEX(Table_INPUT_2D[X],MATCH(Table8[[#This Row],[UID]],Table_INPUT_2D[Unique ID],0)),"")</f>
        <v>11147.575999999999</v>
      </c>
      <c r="C234" s="66">
        <f>_xlfn.IFNA(INDEX(Table_INPUT_2D[Y],MATCH(Table8[[#This Row],[UID]],Table_INPUT_2D[Unique ID],0)),"")</f>
        <v>4582.6890000000003</v>
      </c>
      <c r="D234" s="66">
        <f>_xlfn.IFNA(INDEX(Table_INPUT_2D[Z],MATCH(Table8[[#This Row],[UID]],Table_INPUT_2D[Unique ID],0)),"")</f>
        <v>242.13200000000001</v>
      </c>
      <c r="E234" s="65" t="s">
        <v>334</v>
      </c>
      <c r="G234" s="2" t="str">
        <f>IF($A$234 &lt;&gt; "",$A$234, "")</f>
        <v>MR9074</v>
      </c>
      <c r="H234" s="2">
        <f>IF($B$234 &lt;&gt; "",$B$234, "")</f>
        <v>11147.575999999999</v>
      </c>
      <c r="I234" s="2">
        <f>IF($C$234 &lt;&gt; "",$C$234, "")</f>
        <v>4582.6890000000003</v>
      </c>
      <c r="J234" s="2">
        <f>IF($D$234 &lt;&gt; "",$D$234, "")</f>
        <v>242.13200000000001</v>
      </c>
      <c r="K234">
        <f>AVERAGE($H$234,$H$235)</f>
        <v>11147.575000000001</v>
      </c>
      <c r="L234">
        <f>AVERAGE($I$234,$I$235)</f>
        <v>4582.6880000000001</v>
      </c>
      <c r="M234">
        <f>AVERAGE($J$234,$J$235)</f>
        <v>242.12900000000002</v>
      </c>
      <c r="N234"/>
      <c r="O234" s="56">
        <f>$O$254</f>
        <v>160.97718801652906</v>
      </c>
      <c r="P234"/>
      <c r="Q234"/>
      <c r="R234"/>
      <c r="S234"/>
      <c r="T234"/>
      <c r="U234"/>
      <c r="V234"/>
      <c r="W234"/>
      <c r="X234"/>
      <c r="Y234"/>
      <c r="Z234"/>
      <c r="AA234"/>
      <c r="AB234"/>
      <c r="AE234" s="148"/>
      <c r="AF234" s="148"/>
      <c r="AG234" s="148"/>
      <c r="AH234" s="148"/>
      <c r="AI234" s="148"/>
      <c r="AJ234" s="148"/>
      <c r="AK234" s="148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 s="67" t="s">
        <v>137</v>
      </c>
      <c r="B235" s="66">
        <f>_xlfn.IFNA(INDEX(Table_INPUT_2D[X],MATCH(Table8[[#This Row],[UID]],Table_INPUT_2D[Unique ID],0)),"")</f>
        <v>11147.574000000001</v>
      </c>
      <c r="C235" s="66">
        <f>_xlfn.IFNA(INDEX(Table_INPUT_2D[Y],MATCH(Table8[[#This Row],[UID]],Table_INPUT_2D[Unique ID],0)),"")</f>
        <v>4582.6869999999999</v>
      </c>
      <c r="D235" s="66">
        <f>_xlfn.IFNA(INDEX(Table_INPUT_2D[Z],MATCH(Table8[[#This Row],[UID]],Table_INPUT_2D[Unique ID],0)),"")</f>
        <v>242.126</v>
      </c>
      <c r="E235" s="65" t="s">
        <v>335</v>
      </c>
      <c r="G235" s="2" t="str">
        <f>IF($A$235 &lt;&gt; "",$A$235, "")</f>
        <v>MR9074</v>
      </c>
      <c r="H235" s="2">
        <f>IF($B$235 &lt;&gt; "",$B$235, "")</f>
        <v>11147.574000000001</v>
      </c>
      <c r="I235" s="2">
        <f>IF($C$235 &lt;&gt; "",$C$235, "")</f>
        <v>4582.6869999999999</v>
      </c>
      <c r="J235" s="2">
        <f>IF($D$235 &lt;&gt; "",$D$235, "")</f>
        <v>242.126</v>
      </c>
      <c r="K235"/>
      <c r="L235"/>
      <c r="M235"/>
      <c r="N235"/>
      <c r="O235" s="56"/>
      <c r="P235"/>
      <c r="Q235"/>
      <c r="R235"/>
      <c r="S235"/>
      <c r="T235"/>
      <c r="U235"/>
      <c r="V235"/>
      <c r="W235"/>
      <c r="X235"/>
      <c r="Y235"/>
      <c r="Z235"/>
      <c r="AA235"/>
      <c r="AB235"/>
      <c r="AE235" s="148"/>
      <c r="AF235" s="148"/>
      <c r="AG235" s="148"/>
      <c r="AH235" s="148"/>
      <c r="AI235" s="148"/>
      <c r="AJ235" s="148"/>
      <c r="AK235" s="148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 s="63" t="s">
        <v>22</v>
      </c>
      <c r="B236" s="66" t="str">
        <f>_xlfn.IFNA(INDEX(Table_INPUT_2D[X],MATCH(Table8[[#This Row],[UID]],Table_INPUT_2D[Unique ID],0)),"")</f>
        <v/>
      </c>
      <c r="C236" s="66" t="str">
        <f>_xlfn.IFNA(INDEX(Table_INPUT_2D[Y],MATCH(Table8[[#This Row],[UID]],Table_INPUT_2D[Unique ID],0)),"")</f>
        <v/>
      </c>
      <c r="D236" s="66" t="str">
        <f>_xlfn.IFNA(INDEX(Table_INPUT_2D[Z],MATCH(Table8[[#This Row],[UID]],Table_INPUT_2D[Unique ID],0)),"")</f>
        <v/>
      </c>
      <c r="E236" s="65"/>
      <c r="G236" s="4" t="str">
        <f>IF($A$236 &lt;&gt; "",$A$236, "")</f>
        <v>STATION</v>
      </c>
      <c r="H236" s="4" t="str">
        <f>IF($B$236 &lt;&gt; "",$B$236, "")</f>
        <v/>
      </c>
      <c r="I236" s="4" t="str">
        <f>IF($C$236 &lt;&gt; "",$C$236, "")</f>
        <v/>
      </c>
      <c r="J236" s="4" t="str">
        <f>IF($D$236 &lt;&gt; "",$D$236, "")</f>
        <v/>
      </c>
      <c r="K236" s="156"/>
      <c r="L236" s="156"/>
      <c r="M236" s="156"/>
      <c r="N236" s="156"/>
      <c r="O236" s="158"/>
      <c r="P236" s="156"/>
      <c r="Q236"/>
      <c r="R236"/>
      <c r="S236"/>
      <c r="T236"/>
      <c r="U236"/>
      <c r="V236"/>
      <c r="W236"/>
      <c r="X236"/>
      <c r="Y236"/>
      <c r="Z236"/>
      <c r="AA236"/>
      <c r="AB236"/>
      <c r="AE236" s="148"/>
      <c r="AF236" s="148"/>
      <c r="AG236" s="148"/>
      <c r="AH236" s="148"/>
      <c r="AI236" s="148"/>
      <c r="AJ236" s="148"/>
      <c r="AK236" s="148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 s="67" t="s">
        <v>137</v>
      </c>
      <c r="B237" s="66">
        <f>_xlfn.IFNA(INDEX(Table_INPUT_2D[X],MATCH(Table8[[#This Row],[UID]],Table_INPUT_2D[Unique ID],0)),"")</f>
        <v>11147.567999999999</v>
      </c>
      <c r="C237" s="66">
        <f>_xlfn.IFNA(INDEX(Table_INPUT_2D[Y],MATCH(Table8[[#This Row],[UID]],Table_INPUT_2D[Unique ID],0)),"")</f>
        <v>4582.6859999999997</v>
      </c>
      <c r="D237" s="66">
        <f>_xlfn.IFNA(INDEX(Table_INPUT_2D[Z],MATCH(Table8[[#This Row],[UID]],Table_INPUT_2D[Unique ID],0)),"")</f>
        <v>242.12299999999999</v>
      </c>
      <c r="E237" s="65" t="s">
        <v>336</v>
      </c>
      <c r="G237" s="4" t="str">
        <f>IF($A$237 &lt;&gt; "",$A$237, "")</f>
        <v>MR9074</v>
      </c>
      <c r="H237" s="4">
        <f>IF($B$237 &lt;&gt; "",$B$237, "")</f>
        <v>11147.567999999999</v>
      </c>
      <c r="I237" s="4">
        <f>IF($C$237 &lt;&gt; "",$C$237, "")</f>
        <v>4582.6859999999997</v>
      </c>
      <c r="J237" s="4">
        <f>IF($D$237 &lt;&gt; "",$D$237, "")</f>
        <v>242.12299999999999</v>
      </c>
      <c r="K237" s="156">
        <f>AVERAGE($H$237,$H$238)</f>
        <v>11147.567999999999</v>
      </c>
      <c r="L237" s="156">
        <f>AVERAGE($I$237,$I$238)</f>
        <v>4582.6859999999997</v>
      </c>
      <c r="M237" s="156">
        <f>AVERAGE($J$237,$J$238)</f>
        <v>242.124</v>
      </c>
      <c r="N237" s="156"/>
      <c r="O237" s="158">
        <f>$O$229</f>
        <v>160.97818801652906</v>
      </c>
      <c r="P237" s="156"/>
      <c r="Q237"/>
      <c r="R237"/>
      <c r="S237"/>
      <c r="T237"/>
      <c r="U237"/>
      <c r="V237"/>
      <c r="W237"/>
      <c r="X237"/>
      <c r="Y237"/>
      <c r="Z237"/>
      <c r="AA237"/>
      <c r="AB237"/>
      <c r="AE237" s="148"/>
      <c r="AF237" s="148"/>
      <c r="AG237" s="148"/>
      <c r="AH237" s="148"/>
      <c r="AI237" s="148"/>
      <c r="AJ237" s="148"/>
      <c r="AK237" s="148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 s="67" t="s">
        <v>137</v>
      </c>
      <c r="B238" s="66">
        <f>_xlfn.IFNA(INDEX(Table_INPUT_2D[X],MATCH(Table8[[#This Row],[UID]],Table_INPUT_2D[Unique ID],0)),"")</f>
        <v>11147.567999999999</v>
      </c>
      <c r="C238" s="66">
        <f>_xlfn.IFNA(INDEX(Table_INPUT_2D[Y],MATCH(Table8[[#This Row],[UID]],Table_INPUT_2D[Unique ID],0)),"")</f>
        <v>4582.6859999999997</v>
      </c>
      <c r="D238" s="66">
        <f>_xlfn.IFNA(INDEX(Table_INPUT_2D[Z],MATCH(Table8[[#This Row],[UID]],Table_INPUT_2D[Unique ID],0)),"")</f>
        <v>242.125</v>
      </c>
      <c r="E238" s="65" t="s">
        <v>337</v>
      </c>
      <c r="G238" s="4" t="str">
        <f>IF($A$238 &lt;&gt; "",$A$238, "")</f>
        <v>MR9074</v>
      </c>
      <c r="H238" s="4">
        <f>IF($B$238 &lt;&gt; "",$B$238, "")</f>
        <v>11147.567999999999</v>
      </c>
      <c r="I238" s="4">
        <f>IF($C$238 &lt;&gt; "",$C$238, "")</f>
        <v>4582.6859999999997</v>
      </c>
      <c r="J238" s="4">
        <f>IF($D$238 &lt;&gt; "",$D$238, "")</f>
        <v>242.125</v>
      </c>
      <c r="K238" s="156"/>
      <c r="L238" s="156"/>
      <c r="M238" s="156"/>
      <c r="N238" s="156">
        <f>$M$239-$M$237</f>
        <v>1.1065000000000111</v>
      </c>
      <c r="O238" s="158"/>
      <c r="P238" s="156">
        <f>SQRT(($K$239-$K$237)^2 +($L$239-$L$237)^2)</f>
        <v>20.796219199653461</v>
      </c>
      <c r="Q238"/>
      <c r="R238"/>
      <c r="S238"/>
      <c r="T238"/>
      <c r="U238"/>
      <c r="V238"/>
      <c r="W238"/>
      <c r="X238"/>
      <c r="Y238"/>
      <c r="Z238"/>
      <c r="AA238"/>
      <c r="AB238"/>
      <c r="AE238" s="148"/>
      <c r="AF238" s="148"/>
      <c r="AG238" s="148"/>
      <c r="AH238" s="148"/>
      <c r="AI238" s="148"/>
      <c r="AJ238" s="148"/>
      <c r="AK238" s="14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 s="67" t="s">
        <v>138</v>
      </c>
      <c r="B239" s="66">
        <f>_xlfn.IFNA(INDEX(Table_INPUT_2D[X],MATCH(Table8[[#This Row],[UID]],Table_INPUT_2D[Unique ID],0)),"")</f>
        <v>11165.19</v>
      </c>
      <c r="C239" s="66">
        <f>_xlfn.IFNA(INDEX(Table_INPUT_2D[Y],MATCH(Table8[[#This Row],[UID]],Table_INPUT_2D[Unique ID],0)),"")</f>
        <v>4571.643</v>
      </c>
      <c r="D239" s="66">
        <f>_xlfn.IFNA(INDEX(Table_INPUT_2D[Z],MATCH(Table8[[#This Row],[UID]],Table_INPUT_2D[Unique ID],0)),"")</f>
        <v>243.22900000000001</v>
      </c>
      <c r="E239" s="65" t="s">
        <v>340</v>
      </c>
      <c r="G239" s="4" t="str">
        <f>IF($A$239 &lt;&gt; "",$A$239, "")</f>
        <v>MR9075</v>
      </c>
      <c r="H239" s="4">
        <f>IF($B$239 &lt;&gt; "",$B$239, "")</f>
        <v>11165.19</v>
      </c>
      <c r="I239" s="4">
        <f>IF($C$239 &lt;&gt; "",$C$239, "")</f>
        <v>4571.643</v>
      </c>
      <c r="J239" s="4">
        <f>IF($D$239 &lt;&gt; "",$D$239, "")</f>
        <v>243.22900000000001</v>
      </c>
      <c r="K239" s="156">
        <f>AVERAGE($H$239,$H$240)</f>
        <v>11165.19</v>
      </c>
      <c r="L239" s="156">
        <f>AVERAGE($I$239,$I$240)</f>
        <v>4571.643</v>
      </c>
      <c r="M239" s="156">
        <f>AVERAGE($J$239,$J$240)</f>
        <v>243.23050000000001</v>
      </c>
      <c r="N239" s="156"/>
      <c r="O239" s="158">
        <f>$O$237+($N$238)</f>
        <v>162.08468801652907</v>
      </c>
      <c r="P239" s="156"/>
      <c r="Q239"/>
      <c r="R239"/>
      <c r="S239"/>
      <c r="T239"/>
      <c r="U239"/>
      <c r="V239"/>
      <c r="W239"/>
      <c r="X239"/>
      <c r="Y239"/>
      <c r="Z239"/>
      <c r="AA239"/>
      <c r="AB239"/>
      <c r="AE239" s="148"/>
      <c r="AF239" s="148"/>
      <c r="AG239" s="148"/>
      <c r="AH239" s="148"/>
      <c r="AI239" s="148"/>
      <c r="AJ239" s="148"/>
      <c r="AK239" s="148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 s="67" t="s">
        <v>138</v>
      </c>
      <c r="B240" s="66">
        <f>_xlfn.IFNA(INDEX(Table_INPUT_2D[X],MATCH(Table8[[#This Row],[UID]],Table_INPUT_2D[Unique ID],0)),"")</f>
        <v>11165.19</v>
      </c>
      <c r="C240" s="66">
        <f>_xlfn.IFNA(INDEX(Table_INPUT_2D[Y],MATCH(Table8[[#This Row],[UID]],Table_INPUT_2D[Unique ID],0)),"")</f>
        <v>4571.643</v>
      </c>
      <c r="D240" s="66">
        <f>_xlfn.IFNA(INDEX(Table_INPUT_2D[Z],MATCH(Table8[[#This Row],[UID]],Table_INPUT_2D[Unique ID],0)),"")</f>
        <v>243.232</v>
      </c>
      <c r="E240" s="65" t="s">
        <v>341</v>
      </c>
      <c r="G240" s="4" t="str">
        <f>IF($A$240 &lt;&gt; "",$A$240, "")</f>
        <v>MR9075</v>
      </c>
      <c r="H240" s="4">
        <f>IF($B$240 &lt;&gt; "",$B$240, "")</f>
        <v>11165.19</v>
      </c>
      <c r="I240" s="4">
        <f>IF($C$240 &lt;&gt; "",$C$240, "")</f>
        <v>4571.643</v>
      </c>
      <c r="J240" s="4">
        <f>IF($D$240 &lt;&gt; "",$D$240, "")</f>
        <v>243.232</v>
      </c>
      <c r="K240" s="156"/>
      <c r="L240" s="156"/>
      <c r="M240" s="156"/>
      <c r="N240" s="156">
        <f>$M$241-$M$239</f>
        <v>1.3485000000000014</v>
      </c>
      <c r="O240" s="158"/>
      <c r="P240" s="156">
        <f>SQRT(($K$241-$K$239)^2 +($L$241-$L$239)^2)</f>
        <v>18.616022306066196</v>
      </c>
      <c r="Q240"/>
      <c r="R240"/>
      <c r="S240"/>
      <c r="T240"/>
      <c r="U240"/>
      <c r="V240"/>
      <c r="W240"/>
      <c r="X240"/>
      <c r="Y240"/>
      <c r="Z240"/>
      <c r="AA240"/>
      <c r="AB240"/>
      <c r="AE240" s="148"/>
      <c r="AF240" s="148"/>
      <c r="AG240" s="148"/>
      <c r="AH240" s="148"/>
      <c r="AI240" s="148"/>
      <c r="AJ240" s="148"/>
      <c r="AK240" s="148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 s="67" t="s">
        <v>139</v>
      </c>
      <c r="B241" s="66">
        <f>_xlfn.IFNA(INDEX(Table_INPUT_2D[X],MATCH(Table8[[#This Row],[UID]],Table_INPUT_2D[Unique ID],0)),"")</f>
        <v>11182.058999999999</v>
      </c>
      <c r="C241" s="66">
        <f>_xlfn.IFNA(INDEX(Table_INPUT_2D[Y],MATCH(Table8[[#This Row],[UID]],Table_INPUT_2D[Unique ID],0)),"")</f>
        <v>4563.7700000000004</v>
      </c>
      <c r="D241" s="66">
        <f>_xlfn.IFNA(INDEX(Table_INPUT_2D[Z],MATCH(Table8[[#This Row],[UID]],Table_INPUT_2D[Unique ID],0)),"")</f>
        <v>244.58</v>
      </c>
      <c r="E241" s="65" t="s">
        <v>342</v>
      </c>
      <c r="G241" s="4" t="str">
        <f>IF($A$241 &lt;&gt; "",$A$241, "")</f>
        <v>MR9076</v>
      </c>
      <c r="H241" s="4">
        <f>IF($B$241 &lt;&gt; "",$B$241, "")</f>
        <v>11182.058999999999</v>
      </c>
      <c r="I241" s="4">
        <f>IF($C$241 &lt;&gt; "",$C$241, "")</f>
        <v>4563.7700000000004</v>
      </c>
      <c r="J241" s="4">
        <f>IF($D$241 &lt;&gt; "",$D$241, "")</f>
        <v>244.58</v>
      </c>
      <c r="K241" s="156">
        <f>AVERAGE($H$241,$H$242)</f>
        <v>11182.059499999999</v>
      </c>
      <c r="L241" s="156">
        <f>AVERAGE($I$241,$I$242)</f>
        <v>4563.7705000000005</v>
      </c>
      <c r="M241" s="156">
        <f>AVERAGE($J$241,$J$242)</f>
        <v>244.57900000000001</v>
      </c>
      <c r="N241" s="156"/>
      <c r="O241" s="158">
        <f>$O$239+($N$240)</f>
        <v>163.43318801652907</v>
      </c>
      <c r="P241" s="156"/>
      <c r="Q241"/>
      <c r="R241"/>
      <c r="S241"/>
      <c r="T241"/>
      <c r="U241"/>
      <c r="V241"/>
      <c r="W241"/>
      <c r="X241"/>
      <c r="Y241"/>
      <c r="Z241"/>
      <c r="AA241"/>
      <c r="AB241"/>
      <c r="AE241" s="148"/>
      <c r="AF241" s="148"/>
      <c r="AG241" s="148"/>
      <c r="AH241" s="148"/>
      <c r="AI241" s="148"/>
      <c r="AJ241" s="148"/>
      <c r="AK241" s="148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 s="67" t="s">
        <v>139</v>
      </c>
      <c r="B242" s="66">
        <f>_xlfn.IFNA(INDEX(Table_INPUT_2D[X],MATCH(Table8[[#This Row],[UID]],Table_INPUT_2D[Unique ID],0)),"")</f>
        <v>11182.06</v>
      </c>
      <c r="C242" s="66">
        <f>_xlfn.IFNA(INDEX(Table_INPUT_2D[Y],MATCH(Table8[[#This Row],[UID]],Table_INPUT_2D[Unique ID],0)),"")</f>
        <v>4563.7709999999997</v>
      </c>
      <c r="D242" s="66">
        <f>_xlfn.IFNA(INDEX(Table_INPUT_2D[Z],MATCH(Table8[[#This Row],[UID]],Table_INPUT_2D[Unique ID],0)),"")</f>
        <v>244.578</v>
      </c>
      <c r="E242" s="65" t="s">
        <v>343</v>
      </c>
      <c r="G242" s="4" t="str">
        <f>IF($A$242 &lt;&gt; "",$A$242, "")</f>
        <v>MR9076</v>
      </c>
      <c r="H242" s="4">
        <f>IF($B$242 &lt;&gt; "",$B$242, "")</f>
        <v>11182.06</v>
      </c>
      <c r="I242" s="4">
        <f>IF($C$242 &lt;&gt; "",$C$242, "")</f>
        <v>4563.7709999999997</v>
      </c>
      <c r="J242" s="4">
        <f>IF($D$242 &lt;&gt; "",$D$242, "")</f>
        <v>244.578</v>
      </c>
      <c r="K242" s="156"/>
      <c r="L242" s="156"/>
      <c r="M242" s="156"/>
      <c r="N242" s="156">
        <f>$M$243-$M$241</f>
        <v>1.4780000000000086</v>
      </c>
      <c r="O242" s="158"/>
      <c r="P242" s="156">
        <f>SQRT(($K$243-$K$241)^2 +($L$243-$L$241)^2)</f>
        <v>21.470018007677893</v>
      </c>
      <c r="Q242"/>
      <c r="R242"/>
      <c r="S242"/>
      <c r="T242"/>
      <c r="U242"/>
      <c r="V242"/>
      <c r="W242"/>
      <c r="X242"/>
      <c r="Y242"/>
      <c r="Z242"/>
      <c r="AA242"/>
      <c r="AB242"/>
      <c r="AE242" s="148"/>
      <c r="AF242" s="148"/>
      <c r="AG242" s="148"/>
      <c r="AH242" s="148"/>
      <c r="AI242" s="148"/>
      <c r="AJ242" s="148"/>
      <c r="AK242" s="148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 s="67" t="s">
        <v>140</v>
      </c>
      <c r="B243" s="66">
        <f>_xlfn.IFNA(INDEX(Table_INPUT_2D[X],MATCH(Table8[[#This Row],[UID]],Table_INPUT_2D[Unique ID],0)),"")</f>
        <v>11201.489</v>
      </c>
      <c r="C243" s="66">
        <f>_xlfn.IFNA(INDEX(Table_INPUT_2D[Y],MATCH(Table8[[#This Row],[UID]],Table_INPUT_2D[Unique ID],0)),"")</f>
        <v>4554.6350000000002</v>
      </c>
      <c r="D243" s="66">
        <f>_xlfn.IFNA(INDEX(Table_INPUT_2D[Z],MATCH(Table8[[#This Row],[UID]],Table_INPUT_2D[Unique ID],0)),"")</f>
        <v>246.05500000000001</v>
      </c>
      <c r="E243" s="65" t="s">
        <v>344</v>
      </c>
      <c r="G243" s="4" t="str">
        <f>IF($A$243 &lt;&gt; "",$A$243, "")</f>
        <v>MR9077</v>
      </c>
      <c r="H243" s="4">
        <f>IF($B$243 &lt;&gt; "",$B$243, "")</f>
        <v>11201.489</v>
      </c>
      <c r="I243" s="4">
        <f>IF($C$243 &lt;&gt; "",$C$243, "")</f>
        <v>4554.6350000000002</v>
      </c>
      <c r="J243" s="4">
        <f>IF($D$243 &lt;&gt; "",$D$243, "")</f>
        <v>246.05500000000001</v>
      </c>
      <c r="K243" s="156">
        <f>AVERAGE($H$243,$H$244)</f>
        <v>11201.488499999999</v>
      </c>
      <c r="L243" s="156">
        <f>AVERAGE($I$243,$I$244)</f>
        <v>4554.634</v>
      </c>
      <c r="M243" s="156">
        <f>AVERAGE($J$243,$J$244)</f>
        <v>246.05700000000002</v>
      </c>
      <c r="N243" s="156"/>
      <c r="O243" s="158">
        <f>$O$241+($N$242)</f>
        <v>164.91118801652908</v>
      </c>
      <c r="P243" s="156"/>
      <c r="Q243"/>
      <c r="R243"/>
      <c r="S243"/>
      <c r="T243"/>
      <c r="U243"/>
      <c r="V243"/>
      <c r="W243"/>
      <c r="X243"/>
      <c r="Y243"/>
      <c r="Z243"/>
      <c r="AA243"/>
      <c r="AB243"/>
      <c r="AE243" s="148"/>
      <c r="AF243" s="148"/>
      <c r="AG243" s="148"/>
      <c r="AH243" s="148"/>
      <c r="AI243" s="148"/>
      <c r="AJ243" s="148"/>
      <c r="AK243" s="148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 s="67" t="s">
        <v>140</v>
      </c>
      <c r="B244" s="66">
        <f>_xlfn.IFNA(INDEX(Table_INPUT_2D[X],MATCH(Table8[[#This Row],[UID]],Table_INPUT_2D[Unique ID],0)),"")</f>
        <v>11201.487999999999</v>
      </c>
      <c r="C244" s="66">
        <f>_xlfn.IFNA(INDEX(Table_INPUT_2D[Y],MATCH(Table8[[#This Row],[UID]],Table_INPUT_2D[Unique ID],0)),"")</f>
        <v>4554.6329999999998</v>
      </c>
      <c r="D244" s="66">
        <f>_xlfn.IFNA(INDEX(Table_INPUT_2D[Z],MATCH(Table8[[#This Row],[UID]],Table_INPUT_2D[Unique ID],0)),"")</f>
        <v>246.059</v>
      </c>
      <c r="E244" s="65" t="s">
        <v>345</v>
      </c>
      <c r="G244" s="4" t="str">
        <f>IF($A$244 &lt;&gt; "",$A$244, "")</f>
        <v>MR9077</v>
      </c>
      <c r="H244" s="4">
        <f>IF($B$244 &lt;&gt; "",$B$244, "")</f>
        <v>11201.487999999999</v>
      </c>
      <c r="I244" s="4">
        <f>IF($C$244 &lt;&gt; "",$C$244, "")</f>
        <v>4554.6329999999998</v>
      </c>
      <c r="J244" s="4">
        <f>IF($D$244 &lt;&gt; "",$D$244, "")</f>
        <v>246.059</v>
      </c>
      <c r="K244" s="156"/>
      <c r="L244" s="156"/>
      <c r="M244" s="156"/>
      <c r="N244" s="156">
        <f>$M$245-$M$243</f>
        <v>1.6684999999999945</v>
      </c>
      <c r="O244" s="158"/>
      <c r="P244" s="156">
        <f>SQRT(($K$245-$K$243)^2 +($L$245-$L$243)^2)</f>
        <v>18.626659369033458</v>
      </c>
      <c r="Q244"/>
      <c r="R244"/>
      <c r="S244"/>
      <c r="T244"/>
      <c r="U244"/>
      <c r="V244"/>
      <c r="W244"/>
      <c r="X244"/>
      <c r="Y244"/>
      <c r="Z244"/>
      <c r="AA244"/>
      <c r="AB244"/>
      <c r="AE244" s="148"/>
      <c r="AF244" s="148"/>
      <c r="AG244" s="148"/>
      <c r="AH244" s="148"/>
      <c r="AI244" s="148"/>
      <c r="AJ244" s="148"/>
      <c r="AK244" s="148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 s="67" t="s">
        <v>141</v>
      </c>
      <c r="B245" s="66">
        <f>_xlfn.IFNA(INDEX(Table_INPUT_2D[X],MATCH(Table8[[#This Row],[UID]],Table_INPUT_2D[Unique ID],0)),"")</f>
        <v>11218.471</v>
      </c>
      <c r="C245" s="66">
        <f>_xlfn.IFNA(INDEX(Table_INPUT_2D[Y],MATCH(Table8[[#This Row],[UID]],Table_INPUT_2D[Unique ID],0)),"")</f>
        <v>4546.9830000000002</v>
      </c>
      <c r="D245" s="66">
        <f>_xlfn.IFNA(INDEX(Table_INPUT_2D[Z],MATCH(Table8[[#This Row],[UID]],Table_INPUT_2D[Unique ID],0)),"")</f>
        <v>247.726</v>
      </c>
      <c r="E245" s="65" t="s">
        <v>346</v>
      </c>
      <c r="G245" s="4" t="str">
        <f>IF($A$245 &lt;&gt; "",$A$245, "")</f>
        <v>MR9078</v>
      </c>
      <c r="H245" s="4">
        <f>IF($B$245 &lt;&gt; "",$B$245, "")</f>
        <v>11218.471</v>
      </c>
      <c r="I245" s="4">
        <f>IF($C$245 &lt;&gt; "",$C$245, "")</f>
        <v>4546.9830000000002</v>
      </c>
      <c r="J245" s="4">
        <f>IF($D$245 &lt;&gt; "",$D$245, "")</f>
        <v>247.726</v>
      </c>
      <c r="K245" s="156">
        <f>AVERAGE($H$245,$H$246)</f>
        <v>11218.4715</v>
      </c>
      <c r="L245" s="156">
        <f>AVERAGE($I$245,$I$246)</f>
        <v>4546.9835000000003</v>
      </c>
      <c r="M245" s="156">
        <f>AVERAGE($J$245,$J$246)</f>
        <v>247.72550000000001</v>
      </c>
      <c r="N245" s="156"/>
      <c r="O245" s="158">
        <f>$O$243+($N$244)</f>
        <v>166.57968801652908</v>
      </c>
      <c r="P245" s="156"/>
      <c r="Q245"/>
      <c r="R245"/>
      <c r="S245"/>
      <c r="T245"/>
      <c r="U245"/>
      <c r="V245"/>
      <c r="W245"/>
      <c r="X245"/>
      <c r="Y245"/>
      <c r="Z245"/>
      <c r="AA245"/>
      <c r="AB245"/>
      <c r="AE245" s="148"/>
      <c r="AF245" s="148"/>
      <c r="AG245" s="148"/>
      <c r="AH245" s="148"/>
      <c r="AI245" s="148"/>
      <c r="AJ245" s="148"/>
      <c r="AK245" s="148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 s="67" t="s">
        <v>141</v>
      </c>
      <c r="B246" s="66">
        <f>_xlfn.IFNA(INDEX(Table_INPUT_2D[X],MATCH(Table8[[#This Row],[UID]],Table_INPUT_2D[Unique ID],0)),"")</f>
        <v>11218.472</v>
      </c>
      <c r="C246" s="66">
        <f>_xlfn.IFNA(INDEX(Table_INPUT_2D[Y],MATCH(Table8[[#This Row],[UID]],Table_INPUT_2D[Unique ID],0)),"")</f>
        <v>4546.9840000000004</v>
      </c>
      <c r="D246" s="66">
        <f>_xlfn.IFNA(INDEX(Table_INPUT_2D[Z],MATCH(Table8[[#This Row],[UID]],Table_INPUT_2D[Unique ID],0)),"")</f>
        <v>247.72499999999999</v>
      </c>
      <c r="E246" s="65" t="s">
        <v>347</v>
      </c>
      <c r="G246" s="4" t="str">
        <f>IF($A$246 &lt;&gt; "",$A$246, "")</f>
        <v>MR9078</v>
      </c>
      <c r="H246" s="4">
        <f>IF($B$246 &lt;&gt; "",$B$246, "")</f>
        <v>11218.472</v>
      </c>
      <c r="I246" s="4">
        <f>IF($C$246 &lt;&gt; "",$C$246, "")</f>
        <v>4546.9840000000004</v>
      </c>
      <c r="J246" s="4">
        <f>IF($D$246 &lt;&gt; "",$D$246, "")</f>
        <v>247.72499999999999</v>
      </c>
      <c r="K246" s="156"/>
      <c r="L246" s="156"/>
      <c r="M246" s="156"/>
      <c r="N246" s="156">
        <f>$M$247-$M$245</f>
        <v>2.1979999999999791</v>
      </c>
      <c r="O246" s="158"/>
      <c r="P246" s="156">
        <f>SQRT(($K$247-$K$245)^2 +($L$247-$L$245)^2)</f>
        <v>21.000380341794195</v>
      </c>
      <c r="Q246"/>
      <c r="R246"/>
      <c r="S246"/>
      <c r="T246"/>
      <c r="U246"/>
      <c r="V246"/>
      <c r="W246"/>
      <c r="X246"/>
      <c r="Y246"/>
      <c r="Z246"/>
      <c r="AA246"/>
      <c r="AB246"/>
      <c r="AE246" s="148"/>
      <c r="AF246" s="148"/>
      <c r="AG246" s="148"/>
      <c r="AH246" s="148"/>
      <c r="AI246" s="148"/>
      <c r="AJ246" s="148"/>
      <c r="AK246" s="148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 s="67" t="s">
        <v>142</v>
      </c>
      <c r="B247" s="66">
        <f>_xlfn.IFNA(INDEX(Table_INPUT_2D[X],MATCH(Table8[[#This Row],[UID]],Table_INPUT_2D[Unique ID],0)),"")</f>
        <v>11237.973</v>
      </c>
      <c r="C247" s="66">
        <f>_xlfn.IFNA(INDEX(Table_INPUT_2D[Y],MATCH(Table8[[#This Row],[UID]],Table_INPUT_2D[Unique ID],0)),"")</f>
        <v>4539.192</v>
      </c>
      <c r="D247" s="66">
        <f>_xlfn.IFNA(INDEX(Table_INPUT_2D[Z],MATCH(Table8[[#This Row],[UID]],Table_INPUT_2D[Unique ID],0)),"")</f>
        <v>249.92400000000001</v>
      </c>
      <c r="E247" s="65" t="s">
        <v>348</v>
      </c>
      <c r="G247" s="4" t="str">
        <f>IF($A$247 &lt;&gt; "",$A$247, "")</f>
        <v>MR9079</v>
      </c>
      <c r="H247" s="4">
        <f>IF($B$247 &lt;&gt; "",$B$247, "")</f>
        <v>11237.973</v>
      </c>
      <c r="I247" s="4">
        <f>IF($C$247 &lt;&gt; "",$C$247, "")</f>
        <v>4539.192</v>
      </c>
      <c r="J247" s="4">
        <f>IF($D$247 &lt;&gt; "",$D$247, "")</f>
        <v>249.92400000000001</v>
      </c>
      <c r="K247" s="156">
        <f>AVERAGE($H$247,$H$248)</f>
        <v>11237.973</v>
      </c>
      <c r="L247" s="156">
        <f>AVERAGE($I$247,$I$248)</f>
        <v>4539.192</v>
      </c>
      <c r="M247" s="156">
        <f>AVERAGE($J$247,$J$248)</f>
        <v>249.92349999999999</v>
      </c>
      <c r="N247" s="156"/>
      <c r="O247" s="158">
        <f>$O$245+($N$246)</f>
        <v>168.77768801652905</v>
      </c>
      <c r="P247" s="156"/>
      <c r="Q247"/>
      <c r="R247"/>
      <c r="S247"/>
      <c r="T247"/>
      <c r="U247"/>
      <c r="V247"/>
      <c r="W247"/>
      <c r="X247"/>
      <c r="Y247"/>
      <c r="Z247"/>
      <c r="AA247"/>
      <c r="AB247"/>
      <c r="AE247" s="148"/>
      <c r="AF247" s="148"/>
      <c r="AG247" s="148"/>
      <c r="AH247" s="148"/>
      <c r="AI247" s="148"/>
      <c r="AJ247" s="148"/>
      <c r="AK247" s="148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 s="67" t="s">
        <v>142</v>
      </c>
      <c r="B248" s="66">
        <f>_xlfn.IFNA(INDEX(Table_INPUT_2D[X],MATCH(Table8[[#This Row],[UID]],Table_INPUT_2D[Unique ID],0)),"")</f>
        <v>11237.973</v>
      </c>
      <c r="C248" s="66">
        <f>_xlfn.IFNA(INDEX(Table_INPUT_2D[Y],MATCH(Table8[[#This Row],[UID]],Table_INPUT_2D[Unique ID],0)),"")</f>
        <v>4539.192</v>
      </c>
      <c r="D248" s="66">
        <f>_xlfn.IFNA(INDEX(Table_INPUT_2D[Z],MATCH(Table8[[#This Row],[UID]],Table_INPUT_2D[Unique ID],0)),"")</f>
        <v>249.923</v>
      </c>
      <c r="E248" s="65" t="s">
        <v>349</v>
      </c>
      <c r="G248" s="4" t="str">
        <f>IF($A$248 &lt;&gt; "",$A$248, "")</f>
        <v>MR9079</v>
      </c>
      <c r="H248" s="4">
        <f>IF($B$248 &lt;&gt; "",$B$248, "")</f>
        <v>11237.973</v>
      </c>
      <c r="I248" s="4">
        <f>IF($C$248 &lt;&gt; "",$C$248, "")</f>
        <v>4539.192</v>
      </c>
      <c r="J248" s="4">
        <f>IF($D$248 &lt;&gt; "",$D$248, "")</f>
        <v>249.923</v>
      </c>
      <c r="K248" s="156"/>
      <c r="L248" s="156"/>
      <c r="M248" s="156"/>
      <c r="N248" s="156">
        <f>$M$249-$M$247</f>
        <v>1.890500000000003</v>
      </c>
      <c r="O248" s="158"/>
      <c r="P248" s="156">
        <f>SQRT(($K$249-$K$247)^2 +($L$249-$L$247)^2)</f>
        <v>18.628595330834905</v>
      </c>
      <c r="Q248"/>
      <c r="R248"/>
      <c r="S248"/>
      <c r="T248"/>
      <c r="U248"/>
      <c r="V248"/>
      <c r="W248"/>
      <c r="X248"/>
      <c r="Y248"/>
      <c r="Z248"/>
      <c r="AA248"/>
      <c r="AB248"/>
      <c r="AE248" s="148"/>
      <c r="AF248" s="148"/>
      <c r="AG248" s="148"/>
      <c r="AH248" s="148"/>
      <c r="AI248" s="148"/>
      <c r="AJ248" s="148"/>
      <c r="AK248" s="1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 s="67" t="s">
        <v>143</v>
      </c>
      <c r="B249" s="66">
        <f>_xlfn.IFNA(INDEX(Table_INPUT_2D[X],MATCH(Table8[[#This Row],[UID]],Table_INPUT_2D[Unique ID],0)),"")</f>
        <v>11256.143</v>
      </c>
      <c r="C249" s="66">
        <f>_xlfn.IFNA(INDEX(Table_INPUT_2D[Y],MATCH(Table8[[#This Row],[UID]],Table_INPUT_2D[Unique ID],0)),"")</f>
        <v>4535.0839999999998</v>
      </c>
      <c r="D249" s="66">
        <f>_xlfn.IFNA(INDEX(Table_INPUT_2D[Z],MATCH(Table8[[#This Row],[UID]],Table_INPUT_2D[Unique ID],0)),"")</f>
        <v>251.81399999999999</v>
      </c>
      <c r="E249" s="65" t="s">
        <v>350</v>
      </c>
      <c r="G249" s="4" t="str">
        <f>IF($A$249 &lt;&gt; "",$A$249, "")</f>
        <v>MR9080</v>
      </c>
      <c r="H249" s="4">
        <f>IF($B$249 &lt;&gt; "",$B$249, "")</f>
        <v>11256.143</v>
      </c>
      <c r="I249" s="4">
        <f>IF($C$249 &lt;&gt; "",$C$249, "")</f>
        <v>4535.0839999999998</v>
      </c>
      <c r="J249" s="4">
        <f>IF($D$249 &lt;&gt; "",$D$249, "")</f>
        <v>251.81399999999999</v>
      </c>
      <c r="K249" s="156">
        <f>AVERAGE($H$249,$H$250)</f>
        <v>11256.143</v>
      </c>
      <c r="L249" s="156">
        <f>AVERAGE($I$249,$I$250)</f>
        <v>4535.0839999999998</v>
      </c>
      <c r="M249" s="156">
        <f>AVERAGE($J$249,$J$250)</f>
        <v>251.81399999999999</v>
      </c>
      <c r="N249" s="156"/>
      <c r="O249" s="158">
        <f>$O$247+($N$248)</f>
        <v>170.66818801652906</v>
      </c>
      <c r="P249" s="156"/>
      <c r="Q249"/>
      <c r="R249"/>
      <c r="S249"/>
      <c r="T249"/>
      <c r="U249"/>
      <c r="V249"/>
      <c r="W249"/>
      <c r="X249"/>
      <c r="Y249"/>
      <c r="Z249"/>
      <c r="AA249"/>
      <c r="AB249"/>
      <c r="AE249" s="148"/>
      <c r="AF249" s="148"/>
      <c r="AG249" s="148"/>
      <c r="AH249" s="148"/>
      <c r="AI249" s="148"/>
      <c r="AJ249" s="148"/>
      <c r="AK249" s="148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 s="67" t="s">
        <v>143</v>
      </c>
      <c r="B250" s="66">
        <f>_xlfn.IFNA(INDEX(Table_INPUT_2D[X],MATCH(Table8[[#This Row],[UID]],Table_INPUT_2D[Unique ID],0)),"")</f>
        <v>11256.143</v>
      </c>
      <c r="C250" s="66">
        <f>_xlfn.IFNA(INDEX(Table_INPUT_2D[Y],MATCH(Table8[[#This Row],[UID]],Table_INPUT_2D[Unique ID],0)),"")</f>
        <v>4535.0839999999998</v>
      </c>
      <c r="D250" s="66">
        <f>_xlfn.IFNA(INDEX(Table_INPUT_2D[Z],MATCH(Table8[[#This Row],[UID]],Table_INPUT_2D[Unique ID],0)),"")</f>
        <v>251.81399999999999</v>
      </c>
      <c r="E250" s="65" t="s">
        <v>351</v>
      </c>
      <c r="G250" s="4" t="str">
        <f>IF($A$250 &lt;&gt; "",$A$250, "")</f>
        <v>MR9080</v>
      </c>
      <c r="H250" s="4">
        <f>IF($B$250 &lt;&gt; "",$B$250, "")</f>
        <v>11256.143</v>
      </c>
      <c r="I250" s="4">
        <f>IF($C$250 &lt;&gt; "",$C$250, "")</f>
        <v>4535.0839999999998</v>
      </c>
      <c r="J250" s="4">
        <f>IF($D$250 &lt;&gt; "",$D$250, "")</f>
        <v>251.81399999999999</v>
      </c>
      <c r="K250" s="156"/>
      <c r="L250" s="156"/>
      <c r="M250" s="156"/>
      <c r="N250" s="156">
        <f>$M$251-$M$249</f>
        <v>15.446999999999974</v>
      </c>
      <c r="O250" s="158"/>
      <c r="P250" s="156">
        <f>SQRT(($K$251-$K$249)^2 +($L$251-$L$249)^2)</f>
        <v>64.587477056314739</v>
      </c>
      <c r="Q250"/>
      <c r="R250"/>
      <c r="S250"/>
      <c r="T250"/>
      <c r="U250"/>
      <c r="V250"/>
      <c r="W250"/>
      <c r="X250"/>
      <c r="Y250"/>
      <c r="Z250"/>
      <c r="AA250"/>
      <c r="AB250"/>
      <c r="AE250" s="148"/>
      <c r="AF250" s="148"/>
      <c r="AG250" s="148"/>
      <c r="AH250" s="148"/>
      <c r="AI250" s="148"/>
      <c r="AJ250" s="148"/>
      <c r="AK250" s="148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 s="67" t="s">
        <v>484</v>
      </c>
      <c r="B251" s="139">
        <f>_xlfn.IFNA(INDEX(Table_INPUT_2D[X],MATCH(Table8[[#This Row],[UID]],Table_INPUT_2D[Unique ID],0)),"")</f>
        <v>11316.784</v>
      </c>
      <c r="C251" s="141">
        <f>_xlfn.IFNA(INDEX(Table_INPUT_2D[Y],MATCH(Table8[[#This Row],[UID]],Table_INPUT_2D[Unique ID],0)),"")</f>
        <v>4512.8530000000001</v>
      </c>
      <c r="D251" s="141">
        <f>_xlfn.IFNA(INDEX(Table_INPUT_2D[Z],MATCH(Table8[[#This Row],[UID]],Table_INPUT_2D[Unique ID],0)),"")</f>
        <v>267.26</v>
      </c>
      <c r="E251" s="65" t="s">
        <v>850</v>
      </c>
      <c r="G251" s="4" t="str">
        <f>IF($A$251 &lt;&gt; "",$A$251, "")</f>
        <v>MR9082A</v>
      </c>
      <c r="H251" s="4">
        <f>IF($B$251 &lt;&gt; "",$B$251, "")</f>
        <v>11316.784</v>
      </c>
      <c r="I251" s="4">
        <f>IF($C$251 &lt;&gt; "",$C$251, "")</f>
        <v>4512.8530000000001</v>
      </c>
      <c r="J251" s="4">
        <f>IF($D$251 &lt;&gt; "",$D$251, "")</f>
        <v>267.26</v>
      </c>
      <c r="K251" s="156">
        <f>AVERAGE($H$251,$H$252)</f>
        <v>11316.7845</v>
      </c>
      <c r="L251" s="156">
        <f>AVERAGE($I$251,$I$252)</f>
        <v>4512.8544999999995</v>
      </c>
      <c r="M251" s="156">
        <f>AVERAGE($J$251,$J$252)</f>
        <v>267.26099999999997</v>
      </c>
      <c r="N251" s="156"/>
      <c r="O251" s="158">
        <f>$O$249+($N$250)</f>
        <v>186.11518801652903</v>
      </c>
      <c r="P251" s="156"/>
      <c r="Q251"/>
      <c r="R251"/>
      <c r="S251"/>
      <c r="T251"/>
      <c r="U251"/>
      <c r="V251"/>
      <c r="W251"/>
      <c r="X251"/>
      <c r="Y251"/>
      <c r="Z251"/>
      <c r="AA251"/>
      <c r="AB251"/>
      <c r="AE251" s="148"/>
      <c r="AF251" s="148"/>
      <c r="AG251" s="148"/>
      <c r="AH251" s="148"/>
      <c r="AI251" s="148"/>
      <c r="AJ251" s="148"/>
      <c r="AK251" s="148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 s="67" t="s">
        <v>484</v>
      </c>
      <c r="B252" s="139">
        <f>_xlfn.IFNA(INDEX(Table_INPUT_2D[X],MATCH(Table8[[#This Row],[UID]],Table_INPUT_2D[Unique ID],0)),"")</f>
        <v>11316.785</v>
      </c>
      <c r="C252" s="141">
        <f>_xlfn.IFNA(INDEX(Table_INPUT_2D[Y],MATCH(Table8[[#This Row],[UID]],Table_INPUT_2D[Unique ID],0)),"")</f>
        <v>4512.8559999999998</v>
      </c>
      <c r="D252" s="141">
        <f>_xlfn.IFNA(INDEX(Table_INPUT_2D[Z],MATCH(Table8[[#This Row],[UID]],Table_INPUT_2D[Unique ID],0)),"")</f>
        <v>267.262</v>
      </c>
      <c r="E252" s="65" t="s">
        <v>851</v>
      </c>
      <c r="G252" s="4" t="str">
        <f>IF($A$252 &lt;&gt; "",$A$252, "")</f>
        <v>MR9082A</v>
      </c>
      <c r="H252" s="4">
        <f>IF($B$252 &lt;&gt; "",$B$252, "")</f>
        <v>11316.785</v>
      </c>
      <c r="I252" s="4">
        <f>IF($C$252 &lt;&gt; "",$C$252, "")</f>
        <v>4512.8559999999998</v>
      </c>
      <c r="J252" s="4">
        <f>IF($D$252 &lt;&gt; "",$D$252, "")</f>
        <v>267.262</v>
      </c>
      <c r="K252" s="156"/>
      <c r="L252" s="156"/>
      <c r="M252" s="156"/>
      <c r="N252" s="156"/>
      <c r="O252" s="158"/>
      <c r="P252" s="156"/>
      <c r="Q252"/>
      <c r="R252"/>
      <c r="S252"/>
      <c r="T252"/>
      <c r="U252"/>
      <c r="V252"/>
      <c r="W252"/>
      <c r="X252"/>
      <c r="Y252"/>
      <c r="Z252"/>
      <c r="AA252"/>
      <c r="AB252"/>
      <c r="AE252" s="148"/>
      <c r="AF252" s="148"/>
      <c r="AG252" s="148"/>
      <c r="AH252" s="148"/>
      <c r="AI252" s="148"/>
      <c r="AJ252" s="148"/>
      <c r="AK252" s="148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 s="63" t="s">
        <v>21</v>
      </c>
      <c r="B253" s="66" t="str">
        <f>_xlfn.IFNA(INDEX(Table_INPUT_2D[X],MATCH(Table8[[#This Row],[UID]],Table_INPUT_2D[Unique ID],0)),"")</f>
        <v/>
      </c>
      <c r="C253" s="66" t="str">
        <f>_xlfn.IFNA(INDEX(Table_INPUT_2D[Y],MATCH(Table8[[#This Row],[UID]],Table_INPUT_2D[Unique ID],0)),"")</f>
        <v/>
      </c>
      <c r="D253" s="66" t="str">
        <f>_xlfn.IFNA(INDEX(Table_INPUT_2D[Z],MATCH(Table8[[#This Row],[UID]],Table_INPUT_2D[Unique ID],0)),"")</f>
        <v/>
      </c>
      <c r="E253" s="65"/>
      <c r="G253" s="4" t="str">
        <f>IF($A$253 &lt;&gt; "",$A$253, "")</f>
        <v>CLOSE</v>
      </c>
      <c r="H253" s="4" t="str">
        <f>IF($B$253 &lt;&gt; "",$B$253, "")</f>
        <v/>
      </c>
      <c r="I253" s="4" t="str">
        <f>IF($C$253 &lt;&gt; "",$C$253, "")</f>
        <v/>
      </c>
      <c r="J253" s="4" t="str">
        <f>IF($D$253 &lt;&gt; "",$D$253, "")</f>
        <v/>
      </c>
      <c r="K253" s="156"/>
      <c r="L253" s="156"/>
      <c r="M253" s="156"/>
      <c r="N253" s="156"/>
      <c r="O253" s="158"/>
      <c r="P253" s="156"/>
      <c r="Q253"/>
      <c r="R253"/>
      <c r="S253"/>
      <c r="T253"/>
      <c r="U253"/>
      <c r="V253"/>
      <c r="W253"/>
      <c r="X253"/>
      <c r="Y253"/>
      <c r="Z253"/>
      <c r="AA253"/>
      <c r="AB253"/>
      <c r="AE253" s="148"/>
      <c r="AF253" s="148"/>
      <c r="AG253" s="148"/>
      <c r="AH253" s="148"/>
      <c r="AI253" s="148"/>
      <c r="AJ253" s="148"/>
      <c r="AK253" s="148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 s="67" t="s">
        <v>137</v>
      </c>
      <c r="B254" s="66">
        <f>_xlfn.IFNA(INDEX(Table_INPUT_2D[X],MATCH(Table8[[#This Row],[UID]],Table_INPUT_2D[Unique ID],0)),"")</f>
        <v>11147.569</v>
      </c>
      <c r="C254" s="66">
        <f>_xlfn.IFNA(INDEX(Table_INPUT_2D[Y],MATCH(Table8[[#This Row],[UID]],Table_INPUT_2D[Unique ID],0)),"")</f>
        <v>4582.6869999999999</v>
      </c>
      <c r="D254" s="66">
        <f>_xlfn.IFNA(INDEX(Table_INPUT_2D[Z],MATCH(Table8[[#This Row],[UID]],Table_INPUT_2D[Unique ID],0)),"")</f>
        <v>242.12299999999999</v>
      </c>
      <c r="E254" s="65" t="s">
        <v>338</v>
      </c>
      <c r="G254" s="4" t="str">
        <f>IF($A$254 &lt;&gt; "",$A$254, "")</f>
        <v>MR9074</v>
      </c>
      <c r="H254" s="4">
        <f>IF($B$254 &lt;&gt; "",$B$254, "")</f>
        <v>11147.569</v>
      </c>
      <c r="I254" s="4">
        <f>IF($C$254 &lt;&gt; "",$C$254, "")</f>
        <v>4582.6869999999999</v>
      </c>
      <c r="J254" s="4">
        <f>IF($D$254 &lt;&gt; "",$D$254, "")</f>
        <v>242.12299999999999</v>
      </c>
      <c r="K254" s="156">
        <f>AVERAGE($H$254,$H$255)</f>
        <v>11147.5695</v>
      </c>
      <c r="L254" s="156">
        <f>AVERAGE($I$254,$I$255)</f>
        <v>4582.6885000000002</v>
      </c>
      <c r="M254" s="156">
        <f>AVERAGE($J$254,$J$255)</f>
        <v>242.12299999999999</v>
      </c>
      <c r="N254" s="156"/>
      <c r="O254" s="158">
        <f>$O$256+(-$N$255)</f>
        <v>160.97718801652906</v>
      </c>
      <c r="P254" s="156"/>
      <c r="Q254"/>
      <c r="R254"/>
      <c r="S254"/>
      <c r="T254"/>
      <c r="U254"/>
      <c r="V254"/>
      <c r="W254"/>
      <c r="X254"/>
      <c r="Y254"/>
      <c r="Z254"/>
      <c r="AA254"/>
      <c r="AB254"/>
      <c r="AE254" s="148"/>
      <c r="AF254" s="148"/>
      <c r="AG254" s="148"/>
      <c r="AH254" s="148"/>
      <c r="AI254" s="148"/>
      <c r="AJ254" s="148"/>
      <c r="AK254" s="148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 s="67" t="s">
        <v>137</v>
      </c>
      <c r="B255" s="66">
        <f>_xlfn.IFNA(INDEX(Table_INPUT_2D[X],MATCH(Table8[[#This Row],[UID]],Table_INPUT_2D[Unique ID],0)),"")</f>
        <v>11147.57</v>
      </c>
      <c r="C255" s="66">
        <f>_xlfn.IFNA(INDEX(Table_INPUT_2D[Y],MATCH(Table8[[#This Row],[UID]],Table_INPUT_2D[Unique ID],0)),"")</f>
        <v>4582.6899999999996</v>
      </c>
      <c r="D255" s="66">
        <f>_xlfn.IFNA(INDEX(Table_INPUT_2D[Z],MATCH(Table8[[#This Row],[UID]],Table_INPUT_2D[Unique ID],0)),"")</f>
        <v>242.12299999999999</v>
      </c>
      <c r="E255" s="65" t="s">
        <v>339</v>
      </c>
      <c r="G255" s="4" t="str">
        <f>IF($A$255 &lt;&gt; "",$A$255, "")</f>
        <v>MR9074</v>
      </c>
      <c r="H255" s="4">
        <f>IF($B$255 &lt;&gt; "",$B$255, "")</f>
        <v>11147.57</v>
      </c>
      <c r="I255" s="4">
        <f>IF($C$255 &lt;&gt; "",$C$255, "")</f>
        <v>4582.6899999999996</v>
      </c>
      <c r="J255" s="4">
        <f>IF($D$255 &lt;&gt; "",$D$255, "")</f>
        <v>242.12299999999999</v>
      </c>
      <c r="K255" s="156"/>
      <c r="L255" s="156"/>
      <c r="M255" s="156"/>
      <c r="N255" s="156">
        <f>$M$256-$M$254</f>
        <v>25.137999999999977</v>
      </c>
      <c r="O255" s="158"/>
      <c r="P255" s="156">
        <f>SQRT(($K$256-$K$254)^2 +($L$256-$L$254)^2)</f>
        <v>183.05874407140499</v>
      </c>
      <c r="Q255"/>
      <c r="R255"/>
      <c r="S255"/>
      <c r="T255"/>
      <c r="U255"/>
      <c r="V255"/>
      <c r="W255"/>
      <c r="X255"/>
      <c r="Y255"/>
      <c r="Z255"/>
      <c r="AA255"/>
      <c r="AB255"/>
      <c r="AE255" s="148"/>
      <c r="AF255" s="148"/>
      <c r="AG255" s="148"/>
      <c r="AH255" s="148"/>
      <c r="AI255" s="148"/>
      <c r="AJ255" s="148"/>
      <c r="AK255" s="148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 s="67" t="s">
        <v>484</v>
      </c>
      <c r="B256" s="66">
        <f>_xlfn.IFNA(INDEX(Table_INPUT_2D[X],MATCH(Table8[[#This Row],[UID]],Table_INPUT_2D[Unique ID],0)),"")</f>
        <v>11316.785</v>
      </c>
      <c r="C256" s="66">
        <f>_xlfn.IFNA(INDEX(Table_INPUT_2D[Y],MATCH(Table8[[#This Row],[UID]],Table_INPUT_2D[Unique ID],0)),"")</f>
        <v>4512.8549999999996</v>
      </c>
      <c r="D256" s="66">
        <f>_xlfn.IFNA(INDEX(Table_INPUT_2D[Z],MATCH(Table8[[#This Row],[UID]],Table_INPUT_2D[Unique ID],0)),"")</f>
        <v>267.262</v>
      </c>
      <c r="E256" s="65" t="s">
        <v>852</v>
      </c>
      <c r="G256" s="4" t="str">
        <f>IF($A$256 &lt;&gt; "",$A$256, "")</f>
        <v>MR9082A</v>
      </c>
      <c r="H256" s="4">
        <f>IF($B$256 &lt;&gt; "",$B$256, "")</f>
        <v>11316.785</v>
      </c>
      <c r="I256" s="4">
        <f>IF($C$256 &lt;&gt; "",$C$256, "")</f>
        <v>4512.8549999999996</v>
      </c>
      <c r="J256" s="4">
        <f>IF($D$256 &lt;&gt; "",$D$256, "")</f>
        <v>267.262</v>
      </c>
      <c r="K256" s="156">
        <f>AVERAGE($H$256,$H$257)</f>
        <v>11316.7845</v>
      </c>
      <c r="L256" s="156">
        <f>AVERAGE($I$256,$I$257)</f>
        <v>4512.8544999999995</v>
      </c>
      <c r="M256" s="156">
        <f>AVERAGE($J$256,$J$257)</f>
        <v>267.26099999999997</v>
      </c>
      <c r="N256" s="156"/>
      <c r="O256" s="158">
        <f>$O$251</f>
        <v>186.11518801652903</v>
      </c>
      <c r="P256" s="156"/>
      <c r="Q256"/>
      <c r="R256"/>
      <c r="S256"/>
      <c r="T256"/>
      <c r="U256"/>
      <c r="V256"/>
      <c r="W256"/>
      <c r="X256"/>
      <c r="Y256"/>
      <c r="Z256"/>
      <c r="AA256"/>
      <c r="AE256" s="148"/>
      <c r="AF256" s="148"/>
      <c r="AG256" s="148"/>
      <c r="AH256" s="148"/>
      <c r="AI256" s="148"/>
      <c r="AJ256" s="148"/>
      <c r="AK256" s="148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37" x14ac:dyDescent="0.2">
      <c r="A257" s="67" t="s">
        <v>484</v>
      </c>
      <c r="B257" s="66">
        <f>_xlfn.IFNA(INDEX(Table_INPUT_2D[X],MATCH(Table8[[#This Row],[UID]],Table_INPUT_2D[Unique ID],0)),"")</f>
        <v>11316.784</v>
      </c>
      <c r="C257" s="66">
        <f>_xlfn.IFNA(INDEX(Table_INPUT_2D[Y],MATCH(Table8[[#This Row],[UID]],Table_INPUT_2D[Unique ID],0)),"")</f>
        <v>4512.8540000000003</v>
      </c>
      <c r="D257" s="66">
        <f>_xlfn.IFNA(INDEX(Table_INPUT_2D[Z],MATCH(Table8[[#This Row],[UID]],Table_INPUT_2D[Unique ID],0)),"")</f>
        <v>267.26</v>
      </c>
      <c r="E257" s="65" t="s">
        <v>853</v>
      </c>
      <c r="G257" s="4" t="str">
        <f>IF($A$257 &lt;&gt; "",$A$257, "")</f>
        <v>MR9082A</v>
      </c>
      <c r="H257" s="4">
        <f>IF($B$257 &lt;&gt; "",$B$257, "")</f>
        <v>11316.784</v>
      </c>
      <c r="I257" s="4">
        <f>IF($C$257 &lt;&gt; "",$C$257, "")</f>
        <v>4512.8540000000003</v>
      </c>
      <c r="J257" s="4">
        <f>IF($D$257 &lt;&gt; "",$D$257, "")</f>
        <v>267.26</v>
      </c>
      <c r="K257" s="156"/>
      <c r="L257" s="156"/>
      <c r="M257" s="156"/>
      <c r="N257" s="156"/>
      <c r="O257" s="156"/>
      <c r="P257" s="156"/>
      <c r="W257"/>
      <c r="X257"/>
      <c r="Y257"/>
      <c r="Z257"/>
      <c r="AA257"/>
      <c r="AE257" s="148"/>
      <c r="AF257" s="148"/>
      <c r="AG257" s="148"/>
      <c r="AH257" s="148"/>
      <c r="AI257" s="148"/>
      <c r="AJ257" s="148"/>
      <c r="AK257" s="148"/>
    </row>
    <row r="258" spans="1:37" x14ac:dyDescent="0.2">
      <c r="A258" s="142" t="s">
        <v>22</v>
      </c>
      <c r="B258" s="143" t="str">
        <f>_xlfn.IFNA(INDEX(Table_INPUT_2D[X],MATCH(Table8[[#This Row],[UID]],Table_INPUT_2D[Unique ID],0)),"")</f>
        <v/>
      </c>
      <c r="C258" s="144" t="str">
        <f>_xlfn.IFNA(INDEX(Table_INPUT_2D[Y],MATCH(Table8[[#This Row],[UID]],Table_INPUT_2D[Unique ID],0)),"")</f>
        <v/>
      </c>
      <c r="D258" s="144" t="str">
        <f>_xlfn.IFNA(INDEX(Table_INPUT_2D[Z],MATCH(Table8[[#This Row],[UID]],Table_INPUT_2D[Unique ID],0)),"")</f>
        <v/>
      </c>
      <c r="E258" s="146"/>
      <c r="G258" s="4" t="str">
        <f>IF($A$258 &lt;&gt; "",$A$258, "")</f>
        <v>STATION</v>
      </c>
      <c r="H258" s="4" t="str">
        <f>IF($B$258 &lt;&gt; "",$B$258, "")</f>
        <v/>
      </c>
      <c r="I258" s="4" t="str">
        <f>IF($C$258 &lt;&gt; "",$C$258, "")</f>
        <v/>
      </c>
      <c r="J258" s="4" t="str">
        <f>IF($D$258 &lt;&gt; "",$D$258, "")</f>
        <v/>
      </c>
      <c r="K258" s="156"/>
      <c r="L258" s="156"/>
      <c r="M258" s="156"/>
      <c r="N258" s="156"/>
      <c r="O258" s="158"/>
      <c r="P258" s="156"/>
      <c r="W258"/>
      <c r="X258"/>
      <c r="Y258"/>
      <c r="Z258"/>
      <c r="AA258"/>
      <c r="AE258" s="148"/>
      <c r="AF258" s="148"/>
      <c r="AG258" s="148"/>
      <c r="AH258" s="148"/>
      <c r="AI258" s="148"/>
      <c r="AJ258" s="148"/>
      <c r="AK258" s="148"/>
    </row>
    <row r="259" spans="1:37" x14ac:dyDescent="0.2">
      <c r="A259" s="142" t="s">
        <v>484</v>
      </c>
      <c r="B259" s="143">
        <f>_xlfn.IFNA(INDEX(Table_INPUT_2D[X],MATCH(Table8[[#This Row],[UID]],Table_INPUT_2D[Unique ID],0)),"")</f>
        <v>11316.778</v>
      </c>
      <c r="C259" s="145">
        <f>_xlfn.IFNA(INDEX(Table_INPUT_2D[Y],MATCH(Table8[[#This Row],[UID]],Table_INPUT_2D[Unique ID],0)),"")</f>
        <v>4512.8519999999999</v>
      </c>
      <c r="D259" s="144">
        <f>_xlfn.IFNA(INDEX(Table_INPUT_2D[Z],MATCH(Table8[[#This Row],[UID]],Table_INPUT_2D[Unique ID],0)),"")</f>
        <v>267.25700000000001</v>
      </c>
      <c r="E259" s="146" t="s">
        <v>856</v>
      </c>
      <c r="G259" s="4" t="str">
        <f>IF($A$259 &lt;&gt; "",$A$259, "")</f>
        <v>MR9082A</v>
      </c>
      <c r="H259" s="4">
        <f>IF($B$259 &lt;&gt; "",$B$259, "")</f>
        <v>11316.778</v>
      </c>
      <c r="I259" s="4">
        <f>IF($C$259 &lt;&gt; "",$C$259, "")</f>
        <v>4512.8519999999999</v>
      </c>
      <c r="J259" s="4">
        <f>IF($D$259 &lt;&gt; "",$D$259, "")</f>
        <v>267.25700000000001</v>
      </c>
      <c r="K259" s="156">
        <f>AVERAGE($H$259,$H$260)</f>
        <v>11316.778</v>
      </c>
      <c r="L259" s="156">
        <f>AVERAGE($I$259,$I$260)</f>
        <v>4512.8519999999999</v>
      </c>
      <c r="M259" s="156">
        <f>AVERAGE($J$259,$J$260)</f>
        <v>267.25700000000001</v>
      </c>
      <c r="N259" s="156"/>
      <c r="O259" s="158">
        <f>$O$251</f>
        <v>186.11518801652903</v>
      </c>
      <c r="P259" s="156"/>
      <c r="W259"/>
      <c r="X259"/>
      <c r="Y259"/>
      <c r="Z259"/>
      <c r="AA259"/>
      <c r="AE259" s="148"/>
      <c r="AF259" s="148"/>
      <c r="AG259" s="148"/>
      <c r="AH259" s="148"/>
      <c r="AI259" s="148"/>
      <c r="AJ259" s="148"/>
      <c r="AK259" s="148"/>
    </row>
    <row r="260" spans="1:37" x14ac:dyDescent="0.2">
      <c r="A260" s="142" t="s">
        <v>484</v>
      </c>
      <c r="B260" s="143">
        <f>_xlfn.IFNA(INDEX(Table_INPUT_2D[X],MATCH(Table8[[#This Row],[UID]],Table_INPUT_2D[Unique ID],0)),"")</f>
        <v>11316.778</v>
      </c>
      <c r="C260" s="145">
        <f>_xlfn.IFNA(INDEX(Table_INPUT_2D[Y],MATCH(Table8[[#This Row],[UID]],Table_INPUT_2D[Unique ID],0)),"")</f>
        <v>4512.8519999999999</v>
      </c>
      <c r="D260" s="144">
        <f>_xlfn.IFNA(INDEX(Table_INPUT_2D[Z],MATCH(Table8[[#This Row],[UID]],Table_INPUT_2D[Unique ID],0)),"")</f>
        <v>267.25700000000001</v>
      </c>
      <c r="E260" s="146" t="s">
        <v>857</v>
      </c>
      <c r="G260" s="4" t="str">
        <f>IF($A$260 &lt;&gt; "",$A$260, "")</f>
        <v>MR9082A</v>
      </c>
      <c r="H260" s="4">
        <f>IF($B$260 &lt;&gt; "",$B$260, "")</f>
        <v>11316.778</v>
      </c>
      <c r="I260" s="4">
        <f>IF($C$260 &lt;&gt; "",$C$260, "")</f>
        <v>4512.8519999999999</v>
      </c>
      <c r="J260" s="4">
        <f>IF($D$260 &lt;&gt; "",$D$260, "")</f>
        <v>267.25700000000001</v>
      </c>
      <c r="K260" s="156"/>
      <c r="L260" s="156"/>
      <c r="M260" s="156"/>
      <c r="N260" s="156">
        <f>$M$261-$M$259</f>
        <v>2.3425000000000296</v>
      </c>
      <c r="O260" s="158"/>
      <c r="P260" s="156">
        <f>SQRT(($K$261-$K$259)^2 +($L$261-$L$259)^2)</f>
        <v>44.382043432564217</v>
      </c>
      <c r="W260"/>
      <c r="X260"/>
      <c r="Y260"/>
      <c r="Z260"/>
      <c r="AA260"/>
      <c r="AE260" s="148"/>
      <c r="AF260" s="148"/>
      <c r="AG260" s="148"/>
      <c r="AH260" s="148"/>
      <c r="AI260" s="148"/>
      <c r="AJ260" s="148"/>
      <c r="AK260" s="148"/>
    </row>
    <row r="261" spans="1:37" x14ac:dyDescent="0.2">
      <c r="A261" s="142" t="s">
        <v>471</v>
      </c>
      <c r="B261" s="143">
        <f>_xlfn.IFNA(INDEX(Table_INPUT_2D[X],MATCH(Table8[[#This Row],[UID]],Table_INPUT_2D[Unique ID],0)),"")</f>
        <v>11294.431</v>
      </c>
      <c r="C261" s="145">
        <f>_xlfn.IFNA(INDEX(Table_INPUT_2D[Y],MATCH(Table8[[#This Row],[UID]],Table_INPUT_2D[Unique ID],0)),"")</f>
        <v>4474.5069999999996</v>
      </c>
      <c r="D261" s="144">
        <f>_xlfn.IFNA(INDEX(Table_INPUT_2D[Z],MATCH(Table8[[#This Row],[UID]],Table_INPUT_2D[Unique ID],0)),"")</f>
        <v>269.59899999999999</v>
      </c>
      <c r="E261" s="146" t="s">
        <v>470</v>
      </c>
      <c r="G261" s="4" t="str">
        <f>IF($A$261 &lt;&gt; "",$A$261, "")</f>
        <v>MR9081</v>
      </c>
      <c r="H261" s="4">
        <f>IF($B$261 &lt;&gt; "",$B$261, "")</f>
        <v>11294.431</v>
      </c>
      <c r="I261" s="4">
        <f>IF($C$261 &lt;&gt; "",$C$261, "")</f>
        <v>4474.5069999999996</v>
      </c>
      <c r="J261" s="4">
        <f>IF($D$261 &lt;&gt; "",$D$261, "")</f>
        <v>269.59899999999999</v>
      </c>
      <c r="K261" s="156">
        <f>AVERAGE($H$261,$H$262)</f>
        <v>11294.431</v>
      </c>
      <c r="L261" s="156">
        <f>AVERAGE($I$261,$I$262)</f>
        <v>4474.5064999999995</v>
      </c>
      <c r="M261" s="156">
        <f>AVERAGE($J$261,$J$262)</f>
        <v>269.59950000000003</v>
      </c>
      <c r="N261" s="156"/>
      <c r="O261" s="158">
        <f>$O$259+($N$260)</f>
        <v>188.45768801652906</v>
      </c>
      <c r="P261" s="156"/>
      <c r="W261"/>
      <c r="X261"/>
      <c r="Y261"/>
      <c r="Z261"/>
      <c r="AA261"/>
      <c r="AE261" s="148"/>
      <c r="AF261" s="148"/>
      <c r="AG261" s="148"/>
      <c r="AH261" s="148"/>
      <c r="AI261" s="148"/>
      <c r="AJ261" s="148"/>
      <c r="AK261" s="148"/>
    </row>
    <row r="262" spans="1:37" x14ac:dyDescent="0.2">
      <c r="A262" s="142" t="s">
        <v>471</v>
      </c>
      <c r="B262" s="143">
        <f>_xlfn.IFNA(INDEX(Table_INPUT_2D[X],MATCH(Table8[[#This Row],[UID]],Table_INPUT_2D[Unique ID],0)),"")</f>
        <v>11294.431</v>
      </c>
      <c r="C262" s="145">
        <f>_xlfn.IFNA(INDEX(Table_INPUT_2D[Y],MATCH(Table8[[#This Row],[UID]],Table_INPUT_2D[Unique ID],0)),"")</f>
        <v>4474.5060000000003</v>
      </c>
      <c r="D262" s="144">
        <f>_xlfn.IFNA(INDEX(Table_INPUT_2D[Z],MATCH(Table8[[#This Row],[UID]],Table_INPUT_2D[Unique ID],0)),"")</f>
        <v>269.60000000000002</v>
      </c>
      <c r="E262" s="146" t="s">
        <v>472</v>
      </c>
      <c r="G262" s="4" t="str">
        <f>IF($A$262 &lt;&gt; "",$A$262, "")</f>
        <v>MR9081</v>
      </c>
      <c r="H262" s="4">
        <f>IF($B$262 &lt;&gt; "",$B$262, "")</f>
        <v>11294.431</v>
      </c>
      <c r="I262" s="4">
        <f>IF($C$262 &lt;&gt; "",$C$262, "")</f>
        <v>4474.5060000000003</v>
      </c>
      <c r="J262" s="4">
        <f>IF($D$262 &lt;&gt; "",$D$262, "")</f>
        <v>269.60000000000002</v>
      </c>
      <c r="K262" s="156"/>
      <c r="L262" s="156"/>
      <c r="M262" s="156"/>
      <c r="N262" s="156">
        <f>$M$263-$M$261</f>
        <v>1.110499999999945</v>
      </c>
      <c r="O262" s="158"/>
      <c r="P262" s="156">
        <f>SQRT(($K$263-$K$261)^2 +($L$263-$L$261)^2)</f>
        <v>21.690745889665184</v>
      </c>
      <c r="W262"/>
      <c r="X262"/>
      <c r="Y262"/>
      <c r="Z262"/>
      <c r="AA262"/>
      <c r="AE262" s="148"/>
      <c r="AF262" s="148"/>
      <c r="AG262" s="148"/>
      <c r="AH262" s="148"/>
      <c r="AI262" s="148"/>
      <c r="AJ262" s="148"/>
      <c r="AK262" s="148"/>
    </row>
    <row r="263" spans="1:37" x14ac:dyDescent="0.2">
      <c r="A263" s="142" t="s">
        <v>474</v>
      </c>
      <c r="B263" s="143">
        <f>_xlfn.IFNA(INDEX(Table_INPUT_2D[X],MATCH(Table8[[#This Row],[UID]],Table_INPUT_2D[Unique ID],0)),"")</f>
        <v>11314.486000000001</v>
      </c>
      <c r="C263" s="145">
        <f>_xlfn.IFNA(INDEX(Table_INPUT_2D[Y],MATCH(Table8[[#This Row],[UID]],Table_INPUT_2D[Unique ID],0)),"")</f>
        <v>4482.7700000000004</v>
      </c>
      <c r="D263" s="144">
        <f>_xlfn.IFNA(INDEX(Table_INPUT_2D[Z],MATCH(Table8[[#This Row],[UID]],Table_INPUT_2D[Unique ID],0)),"")</f>
        <v>270.70999999999998</v>
      </c>
      <c r="E263" s="146" t="s">
        <v>473</v>
      </c>
      <c r="G263" s="4" t="str">
        <f>IF($A$263 &lt;&gt; "",$A$263, "")</f>
        <v>MR9082</v>
      </c>
      <c r="H263" s="4">
        <f>IF($B$263 &lt;&gt; "",$B$263, "")</f>
        <v>11314.486000000001</v>
      </c>
      <c r="I263" s="4">
        <f>IF($C$263 &lt;&gt; "",$C$263, "")</f>
        <v>4482.7700000000004</v>
      </c>
      <c r="J263" s="4">
        <f>IF($D$263 &lt;&gt; "",$D$263, "")</f>
        <v>270.70999999999998</v>
      </c>
      <c r="K263" s="156">
        <f>AVERAGE($H$263,$H$264)</f>
        <v>11314.486000000001</v>
      </c>
      <c r="L263" s="156">
        <f>AVERAGE($I$263,$I$264)</f>
        <v>4482.7700000000004</v>
      </c>
      <c r="M263" s="156">
        <f>AVERAGE($J$263,$J$264)</f>
        <v>270.70999999999998</v>
      </c>
      <c r="N263" s="156"/>
      <c r="O263" s="158">
        <f>$O$261+($N$262)</f>
        <v>189.56818801652901</v>
      </c>
      <c r="P263" s="156"/>
      <c r="W263"/>
      <c r="X263"/>
      <c r="Y263"/>
      <c r="Z263"/>
      <c r="AA263"/>
      <c r="AE263" s="148"/>
      <c r="AF263" s="148"/>
      <c r="AG263" s="148"/>
      <c r="AH263" s="148"/>
      <c r="AI263" s="148"/>
      <c r="AJ263" s="148"/>
      <c r="AK263" s="148"/>
    </row>
    <row r="264" spans="1:37" x14ac:dyDescent="0.2">
      <c r="A264" s="142" t="s">
        <v>474</v>
      </c>
      <c r="B264" s="143">
        <f>_xlfn.IFNA(INDEX(Table_INPUT_2D[X],MATCH(Table8[[#This Row],[UID]],Table_INPUT_2D[Unique ID],0)),"")</f>
        <v>11314.486000000001</v>
      </c>
      <c r="C264" s="145">
        <f>_xlfn.IFNA(INDEX(Table_INPUT_2D[Y],MATCH(Table8[[#This Row],[UID]],Table_INPUT_2D[Unique ID],0)),"")</f>
        <v>4482.7700000000004</v>
      </c>
      <c r="D264" s="144">
        <f>_xlfn.IFNA(INDEX(Table_INPUT_2D[Z],MATCH(Table8[[#This Row],[UID]],Table_INPUT_2D[Unique ID],0)),"")</f>
        <v>270.70999999999998</v>
      </c>
      <c r="E264" s="146" t="s">
        <v>475</v>
      </c>
      <c r="G264" s="4" t="str">
        <f>IF($A$264 &lt;&gt; "",$A$264, "")</f>
        <v>MR9082</v>
      </c>
      <c r="H264" s="4">
        <f>IF($B$264 &lt;&gt; "",$B$264, "")</f>
        <v>11314.486000000001</v>
      </c>
      <c r="I264" s="4">
        <f>IF($C$264 &lt;&gt; "",$C$264, "")</f>
        <v>4482.7700000000004</v>
      </c>
      <c r="J264" s="4">
        <f>IF($D$264 &lt;&gt; "",$D$264, "")</f>
        <v>270.70999999999998</v>
      </c>
      <c r="K264" s="156"/>
      <c r="L264" s="156"/>
      <c r="M264" s="156"/>
      <c r="N264" s="156">
        <f>$M$265-$M$263</f>
        <v>-0.20999999999997954</v>
      </c>
      <c r="O264" s="158"/>
      <c r="P264" s="156">
        <f>SQRT(($K$265-$K$263)^2 +($L$265-$L$263)^2)</f>
        <v>17.988383612764689</v>
      </c>
      <c r="W264"/>
      <c r="X264"/>
      <c r="Y264"/>
      <c r="Z264"/>
      <c r="AA264"/>
      <c r="AE264" s="148"/>
      <c r="AF264" s="148"/>
      <c r="AG264" s="148"/>
      <c r="AH264" s="148"/>
      <c r="AI264" s="148"/>
      <c r="AJ264" s="148"/>
      <c r="AK264" s="148"/>
    </row>
    <row r="265" spans="1:37" x14ac:dyDescent="0.2">
      <c r="A265" s="142" t="s">
        <v>477</v>
      </c>
      <c r="B265" s="143">
        <f>_xlfn.IFNA(INDEX(Table_INPUT_2D[X],MATCH(Table8[[#This Row],[UID]],Table_INPUT_2D[Unique ID],0)),"")</f>
        <v>11331.939</v>
      </c>
      <c r="C265" s="145">
        <f>_xlfn.IFNA(INDEX(Table_INPUT_2D[Y],MATCH(Table8[[#This Row],[UID]],Table_INPUT_2D[Unique ID],0)),"")</f>
        <v>4487.1260000000002</v>
      </c>
      <c r="D265" s="144">
        <f>_xlfn.IFNA(INDEX(Table_INPUT_2D[Z],MATCH(Table8[[#This Row],[UID]],Table_INPUT_2D[Unique ID],0)),"")</f>
        <v>270.5</v>
      </c>
      <c r="E265" s="146" t="s">
        <v>476</v>
      </c>
      <c r="G265" s="4" t="str">
        <f>IF($A$265 &lt;&gt; "",$A$265, "")</f>
        <v>MR9083</v>
      </c>
      <c r="H265" s="4">
        <f>IF($B$265 &lt;&gt; "",$B$265, "")</f>
        <v>11331.939</v>
      </c>
      <c r="I265" s="4">
        <f>IF($C$265 &lt;&gt; "",$C$265, "")</f>
        <v>4487.1260000000002</v>
      </c>
      <c r="J265" s="4">
        <f>IF($D$265 &lt;&gt; "",$D$265, "")</f>
        <v>270.5</v>
      </c>
      <c r="K265" s="156">
        <f>AVERAGE($H$265,$H$266)</f>
        <v>11331.939</v>
      </c>
      <c r="L265" s="156">
        <f>AVERAGE($I$265,$I$266)</f>
        <v>4487.1260000000002</v>
      </c>
      <c r="M265" s="156">
        <f>AVERAGE($J$265,$J$266)</f>
        <v>270.5</v>
      </c>
      <c r="N265" s="156"/>
      <c r="O265" s="158">
        <f>$O$263+($N$264)</f>
        <v>189.35818801652903</v>
      </c>
      <c r="P265" s="156"/>
      <c r="W265"/>
      <c r="X265"/>
      <c r="Y265"/>
      <c r="Z265"/>
      <c r="AA265"/>
      <c r="AE265" s="148"/>
      <c r="AF265" s="148"/>
      <c r="AG265" s="148"/>
      <c r="AH265" s="148"/>
      <c r="AI265" s="148"/>
      <c r="AJ265" s="148"/>
      <c r="AK265" s="148"/>
    </row>
    <row r="266" spans="1:37" x14ac:dyDescent="0.2">
      <c r="A266" s="142" t="s">
        <v>477</v>
      </c>
      <c r="B266" s="143">
        <f>_xlfn.IFNA(INDEX(Table_INPUT_2D[X],MATCH(Table8[[#This Row],[UID]],Table_INPUT_2D[Unique ID],0)),"")</f>
        <v>11331.939</v>
      </c>
      <c r="C266" s="145">
        <f>_xlfn.IFNA(INDEX(Table_INPUT_2D[Y],MATCH(Table8[[#This Row],[UID]],Table_INPUT_2D[Unique ID],0)),"")</f>
        <v>4487.1260000000002</v>
      </c>
      <c r="D266" s="144">
        <f>_xlfn.IFNA(INDEX(Table_INPUT_2D[Z],MATCH(Table8[[#This Row],[UID]],Table_INPUT_2D[Unique ID],0)),"")</f>
        <v>270.5</v>
      </c>
      <c r="E266" s="146" t="s">
        <v>478</v>
      </c>
      <c r="G266" s="4" t="str">
        <f>IF($A$266 &lt;&gt; "",$A$266, "")</f>
        <v>MR9083</v>
      </c>
      <c r="H266" s="4">
        <f>IF($B$266 &lt;&gt; "",$B$266, "")</f>
        <v>11331.939</v>
      </c>
      <c r="I266" s="4">
        <f>IF($C$266 &lt;&gt; "",$C$266, "")</f>
        <v>4487.1260000000002</v>
      </c>
      <c r="J266" s="4">
        <f>IF($D$266 &lt;&gt; "",$D$266, "")</f>
        <v>270.5</v>
      </c>
      <c r="K266" s="156"/>
      <c r="L266" s="156"/>
      <c r="M266" s="156"/>
      <c r="N266" s="156"/>
      <c r="O266" s="158"/>
      <c r="P266" s="156"/>
      <c r="W266"/>
      <c r="X266"/>
      <c r="Y266"/>
      <c r="Z266"/>
      <c r="AA266"/>
      <c r="AE266" s="148"/>
      <c r="AF266" s="148"/>
      <c r="AG266" s="148"/>
      <c r="AH266" s="148"/>
      <c r="AI266" s="148"/>
      <c r="AJ266" s="148"/>
      <c r="AK266" s="148"/>
    </row>
    <row r="267" spans="1:37" x14ac:dyDescent="0.2">
      <c r="A267" s="142" t="s">
        <v>21</v>
      </c>
      <c r="B267" s="143" t="str">
        <f>_xlfn.IFNA(INDEX(Table_INPUT_2D[X],MATCH(Table8[[#This Row],[UID]],Table_INPUT_2D[Unique ID],0)),"")</f>
        <v/>
      </c>
      <c r="C267" s="145" t="str">
        <f>_xlfn.IFNA(INDEX(Table_INPUT_2D[Y],MATCH(Table8[[#This Row],[UID]],Table_INPUT_2D[Unique ID],0)),"")</f>
        <v/>
      </c>
      <c r="D267" s="144" t="str">
        <f>_xlfn.IFNA(INDEX(Table_INPUT_2D[Z],MATCH(Table8[[#This Row],[UID]],Table_INPUT_2D[Unique ID],0)),"")</f>
        <v/>
      </c>
      <c r="E267" s="146"/>
      <c r="G267" s="4" t="str">
        <f>IF($A$267 &lt;&gt; "",$A$267, "")</f>
        <v>CLOSE</v>
      </c>
      <c r="H267" s="4" t="str">
        <f>IF($B$267 &lt;&gt; "",$B$267, "")</f>
        <v/>
      </c>
      <c r="I267" s="4" t="str">
        <f>IF($C$267 &lt;&gt; "",$C$267, "")</f>
        <v/>
      </c>
      <c r="J267" s="4" t="str">
        <f>IF($D$267 &lt;&gt; "",$D$267, "")</f>
        <v/>
      </c>
      <c r="K267" s="156"/>
      <c r="L267" s="156"/>
      <c r="M267" s="156"/>
      <c r="N267" s="156"/>
      <c r="O267" s="158"/>
      <c r="P267" s="156"/>
      <c r="W267"/>
      <c r="X267"/>
      <c r="Y267"/>
      <c r="Z267"/>
      <c r="AA267"/>
      <c r="AE267" s="148"/>
      <c r="AF267" s="148"/>
      <c r="AG267" s="148"/>
      <c r="AH267" s="148"/>
      <c r="AI267" s="148"/>
      <c r="AJ267" s="148"/>
      <c r="AK267" s="148"/>
    </row>
    <row r="268" spans="1:37" x14ac:dyDescent="0.2">
      <c r="A268" s="142" t="s">
        <v>484</v>
      </c>
      <c r="B268" s="143">
        <f>_xlfn.IFNA(INDEX(Table_INPUT_2D[X],MATCH(Table8[[#This Row],[UID]],Table_INPUT_2D[Unique ID],0)),"")</f>
        <v>11316.778</v>
      </c>
      <c r="C268" s="145">
        <f>_xlfn.IFNA(INDEX(Table_INPUT_2D[Y],MATCH(Table8[[#This Row],[UID]],Table_INPUT_2D[Unique ID],0)),"")</f>
        <v>4512.8509999999997</v>
      </c>
      <c r="D268" s="144">
        <f>_xlfn.IFNA(INDEX(Table_INPUT_2D[Z],MATCH(Table8[[#This Row],[UID]],Table_INPUT_2D[Unique ID],0)),"")</f>
        <v>267.25700000000001</v>
      </c>
      <c r="E268" s="146" t="s">
        <v>858</v>
      </c>
      <c r="G268" s="4" t="str">
        <f>IF($A$268 &lt;&gt; "",$A$268, "")</f>
        <v>MR9082A</v>
      </c>
      <c r="H268" s="4">
        <f>IF($B$268 &lt;&gt; "",$B$268, "")</f>
        <v>11316.778</v>
      </c>
      <c r="I268" s="4">
        <f>IF($C$268 &lt;&gt; "",$C$268, "")</f>
        <v>4512.8509999999997</v>
      </c>
      <c r="J268" s="4">
        <f>IF($D$268 &lt;&gt; "",$D$268, "")</f>
        <v>267.25700000000001</v>
      </c>
      <c r="K268" s="156">
        <f>AVERAGE($H$268,$H$269)</f>
        <v>11316.7785</v>
      </c>
      <c r="L268" s="156">
        <f>AVERAGE($I$268,$I$269)</f>
        <v>4512.8514999999998</v>
      </c>
      <c r="M268" s="156">
        <f>AVERAGE($J$268,$J$269)</f>
        <v>267.25700000000001</v>
      </c>
      <c r="N268" s="156"/>
      <c r="O268" s="158">
        <f>$O$270+(-$N$269)</f>
        <v>186.11518801652903</v>
      </c>
      <c r="P268" s="156"/>
      <c r="W268"/>
      <c r="X268"/>
      <c r="Y268"/>
      <c r="Z268"/>
      <c r="AA268"/>
      <c r="AE268" s="148"/>
      <c r="AF268" s="148"/>
      <c r="AG268" s="148"/>
      <c r="AH268" s="148"/>
      <c r="AI268" s="148"/>
      <c r="AJ268" s="148"/>
      <c r="AK268" s="148"/>
    </row>
    <row r="269" spans="1:37" x14ac:dyDescent="0.2">
      <c r="A269" s="142" t="s">
        <v>484</v>
      </c>
      <c r="B269" s="143">
        <f>_xlfn.IFNA(INDEX(Table_INPUT_2D[X],MATCH(Table8[[#This Row],[UID]],Table_INPUT_2D[Unique ID],0)),"")</f>
        <v>11316.779</v>
      </c>
      <c r="C269" s="145">
        <f>_xlfn.IFNA(INDEX(Table_INPUT_2D[Y],MATCH(Table8[[#This Row],[UID]],Table_INPUT_2D[Unique ID],0)),"")</f>
        <v>4512.8519999999999</v>
      </c>
      <c r="D269" s="144">
        <f>_xlfn.IFNA(INDEX(Table_INPUT_2D[Z],MATCH(Table8[[#This Row],[UID]],Table_INPUT_2D[Unique ID],0)),"")</f>
        <v>267.25700000000001</v>
      </c>
      <c r="E269" s="146" t="s">
        <v>859</v>
      </c>
      <c r="G269" s="4" t="str">
        <f>IF($A$269 &lt;&gt; "",$A$269, "")</f>
        <v>MR9082A</v>
      </c>
      <c r="H269" s="4">
        <f>IF($B$269 &lt;&gt; "",$B$269, "")</f>
        <v>11316.779</v>
      </c>
      <c r="I269" s="4">
        <f>IF($C$269 &lt;&gt; "",$C$269, "")</f>
        <v>4512.8519999999999</v>
      </c>
      <c r="J269" s="4">
        <f>IF($D$269 &lt;&gt; "",$D$269, "")</f>
        <v>267.25700000000001</v>
      </c>
      <c r="K269" s="156"/>
      <c r="L269" s="156"/>
      <c r="M269" s="156"/>
      <c r="N269" s="156">
        <f>$M$270-$M$268</f>
        <v>3.242999999999995</v>
      </c>
      <c r="O269" s="158"/>
      <c r="P269" s="156">
        <f>SQRT(($K$270-$K$268)^2 +($L$270-$L$268)^2)</f>
        <v>29.859515409664059</v>
      </c>
      <c r="W269"/>
      <c r="X269"/>
      <c r="Y269"/>
      <c r="Z269"/>
      <c r="AA269"/>
      <c r="AE269" s="148"/>
      <c r="AF269" s="148"/>
      <c r="AG269" s="148"/>
      <c r="AH269" s="148"/>
      <c r="AI269" s="148"/>
      <c r="AJ269" s="148"/>
      <c r="AK269" s="148"/>
    </row>
    <row r="270" spans="1:37" x14ac:dyDescent="0.2">
      <c r="A270" s="142" t="s">
        <v>477</v>
      </c>
      <c r="B270" s="143">
        <f>_xlfn.IFNA(INDEX(Table_INPUT_2D[X],MATCH(Table8[[#This Row],[UID]],Table_INPUT_2D[Unique ID],0)),"")</f>
        <v>11331.939</v>
      </c>
      <c r="C270" s="145">
        <f>_xlfn.IFNA(INDEX(Table_INPUT_2D[Y],MATCH(Table8[[#This Row],[UID]],Table_INPUT_2D[Unique ID],0)),"")</f>
        <v>4487.1270000000004</v>
      </c>
      <c r="D270" s="144">
        <f>_xlfn.IFNA(INDEX(Table_INPUT_2D[Z],MATCH(Table8[[#This Row],[UID]],Table_INPUT_2D[Unique ID],0)),"")</f>
        <v>270.5</v>
      </c>
      <c r="E270" s="146" t="s">
        <v>479</v>
      </c>
      <c r="G270" s="4" t="str">
        <f>IF($A$270 &lt;&gt; "",$A$270, "")</f>
        <v>MR9083</v>
      </c>
      <c r="H270" s="4">
        <f>IF($B$270 &lt;&gt; "",$B$270, "")</f>
        <v>11331.939</v>
      </c>
      <c r="I270" s="4">
        <f>IF($C$270 &lt;&gt; "",$C$270, "")</f>
        <v>4487.1270000000004</v>
      </c>
      <c r="J270" s="4">
        <f>IF($D$270 &lt;&gt; "",$D$270, "")</f>
        <v>270.5</v>
      </c>
      <c r="K270" s="156">
        <f>AVERAGE($H$270,$H$271)</f>
        <v>11331.939</v>
      </c>
      <c r="L270" s="156">
        <f>AVERAGE($I$270,$I$271)</f>
        <v>4487.1270000000004</v>
      </c>
      <c r="M270" s="156">
        <f>AVERAGE($J$270,$J$271)</f>
        <v>270.5</v>
      </c>
      <c r="N270" s="156"/>
      <c r="O270" s="158">
        <f>$O$265</f>
        <v>189.35818801652903</v>
      </c>
      <c r="P270" s="156"/>
      <c r="W270"/>
      <c r="X270"/>
      <c r="Y270"/>
      <c r="Z270"/>
      <c r="AA270"/>
      <c r="AE270" s="148"/>
      <c r="AF270" s="148"/>
      <c r="AG270" s="148"/>
      <c r="AH270" s="148"/>
      <c r="AI270" s="148"/>
      <c r="AJ270" s="148"/>
      <c r="AK270" s="148"/>
    </row>
    <row r="271" spans="1:37" x14ac:dyDescent="0.2">
      <c r="A271" s="142" t="s">
        <v>477</v>
      </c>
      <c r="B271" s="143">
        <f>_xlfn.IFNA(INDEX(Table_INPUT_2D[X],MATCH(Table8[[#This Row],[UID]],Table_INPUT_2D[Unique ID],0)),"")</f>
        <v>11331.939</v>
      </c>
      <c r="C271" s="145">
        <f>_xlfn.IFNA(INDEX(Table_INPUT_2D[Y],MATCH(Table8[[#This Row],[UID]],Table_INPUT_2D[Unique ID],0)),"")</f>
        <v>4487.1270000000004</v>
      </c>
      <c r="D271" s="144">
        <f>_xlfn.IFNA(INDEX(Table_INPUT_2D[Z],MATCH(Table8[[#This Row],[UID]],Table_INPUT_2D[Unique ID],0)),"")</f>
        <v>270.5</v>
      </c>
      <c r="E271" s="146" t="s">
        <v>480</v>
      </c>
      <c r="G271" s="4" t="str">
        <f>IF($A$271 &lt;&gt; "",$A$271, "")</f>
        <v>MR9083</v>
      </c>
      <c r="H271" s="4">
        <f>IF($B$271 &lt;&gt; "",$B$271, "")</f>
        <v>11331.939</v>
      </c>
      <c r="I271" s="4">
        <f>IF($C$271 &lt;&gt; "",$C$271, "")</f>
        <v>4487.1270000000004</v>
      </c>
      <c r="J271" s="4">
        <f>IF($D$271 &lt;&gt; "",$D$271, "")</f>
        <v>270.5</v>
      </c>
      <c r="K271" s="156"/>
      <c r="L271" s="156"/>
      <c r="M271" s="156"/>
      <c r="N271" s="156"/>
      <c r="O271" s="158"/>
      <c r="P271" s="156"/>
      <c r="W271"/>
      <c r="X271"/>
      <c r="Y271"/>
      <c r="Z271"/>
      <c r="AA271"/>
      <c r="AE271" s="148"/>
      <c r="AF271" s="148"/>
      <c r="AG271" s="148"/>
      <c r="AH271" s="148"/>
      <c r="AI271" s="148"/>
      <c r="AJ271" s="148"/>
      <c r="AK271" s="148"/>
    </row>
    <row r="272" spans="1:37" x14ac:dyDescent="0.2">
      <c r="A272" s="142" t="s">
        <v>22</v>
      </c>
      <c r="B272" s="143" t="str">
        <f>_xlfn.IFNA(INDEX(Table_INPUT_2D[X],MATCH(Table8[[#This Row],[UID]],Table_INPUT_2D[Unique ID],0)),"")</f>
        <v/>
      </c>
      <c r="C272" s="145" t="str">
        <f>_xlfn.IFNA(INDEX(Table_INPUT_2D[Y],MATCH(Table8[[#This Row],[UID]],Table_INPUT_2D[Unique ID],0)),"")</f>
        <v/>
      </c>
      <c r="D272" s="144" t="str">
        <f>_xlfn.IFNA(INDEX(Table_INPUT_2D[Z],MATCH(Table8[[#This Row],[UID]],Table_INPUT_2D[Unique ID],0)),"")</f>
        <v/>
      </c>
      <c r="E272" s="146"/>
      <c r="G272" s="4" t="str">
        <f>IF($A$272 &lt;&gt; "",$A$272, "")</f>
        <v>STATION</v>
      </c>
      <c r="H272" s="4" t="str">
        <f>IF($B$272 &lt;&gt; "",$B$272, "")</f>
        <v/>
      </c>
      <c r="I272" s="4" t="str">
        <f>IF($C$272 &lt;&gt; "",$C$272, "")</f>
        <v/>
      </c>
      <c r="J272" s="4" t="str">
        <f>IF($D$272 &lt;&gt; "",$D$272, "")</f>
        <v/>
      </c>
      <c r="K272" s="156"/>
      <c r="L272" s="156"/>
      <c r="M272" s="156"/>
      <c r="N272" s="156"/>
      <c r="O272" s="158"/>
      <c r="P272" s="156"/>
      <c r="W272"/>
      <c r="X272"/>
      <c r="Y272"/>
      <c r="Z272"/>
      <c r="AA272"/>
      <c r="AE272" s="148"/>
      <c r="AF272" s="148"/>
      <c r="AG272" s="148"/>
      <c r="AH272" s="148"/>
      <c r="AI272" s="148"/>
      <c r="AJ272" s="148"/>
      <c r="AK272" s="148"/>
    </row>
    <row r="273" spans="1:37" x14ac:dyDescent="0.2">
      <c r="A273" s="142" t="s">
        <v>477</v>
      </c>
      <c r="B273" s="143">
        <f>_xlfn.IFNA(INDEX(Table_INPUT_2D[X],MATCH(Table8[[#This Row],[UID]],Table_INPUT_2D[Unique ID],0)),"")</f>
        <v>11331.939</v>
      </c>
      <c r="C273" s="145">
        <f>_xlfn.IFNA(INDEX(Table_INPUT_2D[Y],MATCH(Table8[[#This Row],[UID]],Table_INPUT_2D[Unique ID],0)),"")</f>
        <v>4487.125</v>
      </c>
      <c r="D273" s="144">
        <f>_xlfn.IFNA(INDEX(Table_INPUT_2D[Z],MATCH(Table8[[#This Row],[UID]],Table_INPUT_2D[Unique ID],0)),"")</f>
        <v>270.49900000000002</v>
      </c>
      <c r="E273" s="146" t="s">
        <v>486</v>
      </c>
      <c r="G273" s="4" t="str">
        <f>IF($A$273 &lt;&gt; "",$A$273, "")</f>
        <v>MR9083</v>
      </c>
      <c r="H273" s="4">
        <f>IF($B$273 &lt;&gt; "",$B$273, "")</f>
        <v>11331.939</v>
      </c>
      <c r="I273" s="4">
        <f>IF($C$273 &lt;&gt; "",$C$273, "")</f>
        <v>4487.125</v>
      </c>
      <c r="J273" s="4">
        <f>IF($D$273 &lt;&gt; "",$D$273, "")</f>
        <v>270.49900000000002</v>
      </c>
      <c r="K273" s="156">
        <f>AVERAGE($H$273,$H$274)</f>
        <v>11331.939</v>
      </c>
      <c r="L273" s="156">
        <f>AVERAGE($I$273,$I$274)</f>
        <v>4487.125</v>
      </c>
      <c r="M273" s="156">
        <f>AVERAGE($J$273,$J$274)</f>
        <v>270.49900000000002</v>
      </c>
      <c r="N273" s="156"/>
      <c r="O273" s="158">
        <f>$O$265</f>
        <v>189.35818801652903</v>
      </c>
      <c r="P273" s="156"/>
      <c r="W273"/>
      <c r="X273"/>
      <c r="Y273"/>
      <c r="Z273"/>
      <c r="AA273"/>
      <c r="AE273" s="148"/>
      <c r="AF273" s="148"/>
      <c r="AG273" s="148"/>
      <c r="AH273" s="148"/>
      <c r="AI273" s="148"/>
      <c r="AJ273" s="148"/>
      <c r="AK273" s="148"/>
    </row>
    <row r="274" spans="1:37" x14ac:dyDescent="0.2">
      <c r="A274" s="142" t="s">
        <v>477</v>
      </c>
      <c r="B274" s="143">
        <f>_xlfn.IFNA(INDEX(Table_INPUT_2D[X],MATCH(Table8[[#This Row],[UID]],Table_INPUT_2D[Unique ID],0)),"")</f>
        <v>11331.939</v>
      </c>
      <c r="C274" s="145">
        <f>_xlfn.IFNA(INDEX(Table_INPUT_2D[Y],MATCH(Table8[[#This Row],[UID]],Table_INPUT_2D[Unique ID],0)),"")</f>
        <v>4487.125</v>
      </c>
      <c r="D274" s="144">
        <f>_xlfn.IFNA(INDEX(Table_INPUT_2D[Z],MATCH(Table8[[#This Row],[UID]],Table_INPUT_2D[Unique ID],0)),"")</f>
        <v>270.49900000000002</v>
      </c>
      <c r="E274" s="146" t="s">
        <v>487</v>
      </c>
      <c r="G274" s="4" t="str">
        <f>IF($A$274 &lt;&gt; "",$A$274, "")</f>
        <v>MR9083</v>
      </c>
      <c r="H274" s="4">
        <f>IF($B$274 &lt;&gt; "",$B$274, "")</f>
        <v>11331.939</v>
      </c>
      <c r="I274" s="4">
        <f>IF($C$274 &lt;&gt; "",$C$274, "")</f>
        <v>4487.125</v>
      </c>
      <c r="J274" s="4">
        <f>IF($D$274 &lt;&gt; "",$D$274, "")</f>
        <v>270.49900000000002</v>
      </c>
      <c r="K274" s="156"/>
      <c r="L274" s="156"/>
      <c r="M274" s="156"/>
      <c r="N274" s="156">
        <f>$M$275-$M$273</f>
        <v>0.20949999999999136</v>
      </c>
      <c r="O274" s="158"/>
      <c r="P274" s="159">
        <f>SQRT(($K$277-$K$273)^2 +($L$277-$L$273)^2)</f>
        <v>22.303857827738717</v>
      </c>
      <c r="W274"/>
      <c r="X274"/>
      <c r="Y274"/>
      <c r="Z274"/>
      <c r="AA274"/>
      <c r="AE274" s="148"/>
      <c r="AF274" s="148"/>
      <c r="AG274" s="148"/>
      <c r="AH274" s="148"/>
      <c r="AI274" s="148"/>
      <c r="AJ274" s="148"/>
      <c r="AK274" s="148"/>
    </row>
    <row r="275" spans="1:37" x14ac:dyDescent="0.2">
      <c r="A275" s="142" t="s">
        <v>474</v>
      </c>
      <c r="B275" s="143">
        <f>_xlfn.IFNA(INDEX(Table_INPUT_2D[X],MATCH(Table8[[#This Row],[UID]],Table_INPUT_2D[Unique ID],0)),"")</f>
        <v>11314.486999999999</v>
      </c>
      <c r="C275" s="145">
        <f>_xlfn.IFNA(INDEX(Table_INPUT_2D[Y],MATCH(Table8[[#This Row],[UID]],Table_INPUT_2D[Unique ID],0)),"")</f>
        <v>4482.7700000000004</v>
      </c>
      <c r="D275" s="144">
        <f>_xlfn.IFNA(INDEX(Table_INPUT_2D[Z],MATCH(Table8[[#This Row],[UID]],Table_INPUT_2D[Unique ID],0)),"")</f>
        <v>270.70800000000003</v>
      </c>
      <c r="E275" s="146" t="s">
        <v>481</v>
      </c>
      <c r="G275" s="4" t="str">
        <f>IF($A$275 &lt;&gt; "",$A$275, "")</f>
        <v>MR9082</v>
      </c>
      <c r="H275" s="4">
        <f>IF($B$275 &lt;&gt; "",$B$275, "")</f>
        <v>11314.486999999999</v>
      </c>
      <c r="I275" s="4">
        <f>IF($C$275 &lt;&gt; "",$C$275, "")</f>
        <v>4482.7700000000004</v>
      </c>
      <c r="J275" s="4">
        <f>IF($D$275 &lt;&gt; "",$D$275, "")</f>
        <v>270.70800000000003</v>
      </c>
      <c r="K275" s="156">
        <f>AVERAGE($H$275,$H$276)</f>
        <v>11314.486499999999</v>
      </c>
      <c r="L275" s="156">
        <f>AVERAGE($I$275,$I$276)</f>
        <v>4482.7730000000001</v>
      </c>
      <c r="M275" s="156">
        <f>AVERAGE($J$275,$J$276)</f>
        <v>270.70850000000002</v>
      </c>
      <c r="N275" s="156"/>
      <c r="O275" s="158">
        <f>$O$273+($N$274)</f>
        <v>189.56768801652902</v>
      </c>
      <c r="P275" s="159"/>
      <c r="AE275" s="148"/>
      <c r="AF275" s="148"/>
      <c r="AG275" s="148"/>
      <c r="AH275" s="148"/>
      <c r="AI275" s="148"/>
      <c r="AJ275" s="148"/>
      <c r="AK275" s="148"/>
    </row>
    <row r="276" spans="1:37" x14ac:dyDescent="0.2">
      <c r="A276" s="142" t="s">
        <v>474</v>
      </c>
      <c r="B276" s="143">
        <f>_xlfn.IFNA(INDEX(Table_INPUT_2D[X],MATCH(Table8[[#This Row],[UID]],Table_INPUT_2D[Unique ID],0)),"")</f>
        <v>11314.486000000001</v>
      </c>
      <c r="C276" s="145">
        <f>_xlfn.IFNA(INDEX(Table_INPUT_2D[Y],MATCH(Table8[[#This Row],[UID]],Table_INPUT_2D[Unique ID],0)),"")</f>
        <v>4482.7759999999998</v>
      </c>
      <c r="D276" s="144">
        <f>_xlfn.IFNA(INDEX(Table_INPUT_2D[Z],MATCH(Table8[[#This Row],[UID]],Table_INPUT_2D[Unique ID],0)),"")</f>
        <v>270.709</v>
      </c>
      <c r="E276" s="146" t="s">
        <v>482</v>
      </c>
      <c r="G276" s="4" t="str">
        <f>IF($A$276 &lt;&gt; "",$A$276, "")</f>
        <v>MR9082</v>
      </c>
      <c r="H276" s="4">
        <f>IF($B$276 &lt;&gt; "",$B$276, "")</f>
        <v>11314.486000000001</v>
      </c>
      <c r="I276" s="4">
        <f>IF($C$276 &lt;&gt; "",$C$276, "")</f>
        <v>4482.7759999999998</v>
      </c>
      <c r="J276" s="4">
        <f>IF($D$276 &lt;&gt; "",$D$276, "")</f>
        <v>270.709</v>
      </c>
      <c r="K276" s="156"/>
      <c r="L276" s="156"/>
      <c r="M276" s="156"/>
      <c r="N276" s="156">
        <f>$M$277-$M$275</f>
        <v>-3.0894999999999868</v>
      </c>
      <c r="O276" s="158"/>
      <c r="P276" s="159">
        <f>SQRT(($K$273-$K$275)^2 +($L$273-$L$275)^2)</f>
        <v>17.986930261999738</v>
      </c>
      <c r="AE276" s="148"/>
      <c r="AF276" s="148"/>
      <c r="AG276" s="148"/>
      <c r="AH276" s="148"/>
      <c r="AI276" s="148"/>
      <c r="AJ276" s="148"/>
      <c r="AK276" s="148"/>
    </row>
    <row r="277" spans="1:37" x14ac:dyDescent="0.2">
      <c r="A277" s="142" t="s">
        <v>484</v>
      </c>
      <c r="B277" s="143">
        <f>_xlfn.IFNA(INDEX(Table_INPUT_2D[X],MATCH(Table8[[#This Row],[UID]],Table_INPUT_2D[Unique ID],0)),"")</f>
        <v>11316.784</v>
      </c>
      <c r="C277" s="145">
        <f>_xlfn.IFNA(INDEX(Table_INPUT_2D[Y],MATCH(Table8[[#This Row],[UID]],Table_INPUT_2D[Unique ID],0)),"")</f>
        <v>4512.8549999999996</v>
      </c>
      <c r="D277" s="144">
        <f>_xlfn.IFNA(INDEX(Table_INPUT_2D[Z],MATCH(Table8[[#This Row],[UID]],Table_INPUT_2D[Unique ID],0)),"")</f>
        <v>267.25700000000001</v>
      </c>
      <c r="E277" s="146" t="s">
        <v>483</v>
      </c>
      <c r="G277" s="4" t="str">
        <f>IF($A$281 &lt;&gt; "",$A$281, "")</f>
        <v>MR9084</v>
      </c>
      <c r="H277" s="4">
        <f>IF($B$281 &lt;&gt; "",$B$281, "")</f>
        <v>11354.196</v>
      </c>
      <c r="I277" s="4">
        <f>IF($C$281 &lt;&gt; "",$C$281, "")</f>
        <v>4488.57</v>
      </c>
      <c r="J277" s="4">
        <f>IF($D$281 &lt;&gt; "",$D$281, "")</f>
        <v>267.61900000000003</v>
      </c>
      <c r="K277" s="156">
        <f>AVERAGE($H$277,$H$278)</f>
        <v>11354.196</v>
      </c>
      <c r="L277" s="156">
        <f>AVERAGE($I$277,$I$278)</f>
        <v>4488.57</v>
      </c>
      <c r="M277" s="156">
        <f>AVERAGE($J$277,$J$278)</f>
        <v>267.61900000000003</v>
      </c>
      <c r="N277" s="156"/>
      <c r="O277" s="158">
        <f>$O$275+($N$276)</f>
        <v>186.47818801652903</v>
      </c>
      <c r="P277" s="159"/>
      <c r="AE277" s="148"/>
      <c r="AF277" s="148"/>
      <c r="AG277" s="148"/>
      <c r="AH277" s="148"/>
      <c r="AI277" s="148"/>
      <c r="AJ277" s="148"/>
      <c r="AK277" s="148"/>
    </row>
    <row r="278" spans="1:37" x14ac:dyDescent="0.2">
      <c r="A278" s="142" t="s">
        <v>484</v>
      </c>
      <c r="B278" s="143">
        <f>_xlfn.IFNA(INDEX(Table_INPUT_2D[X],MATCH(Table8[[#This Row],[UID]],Table_INPUT_2D[Unique ID],0)),"")</f>
        <v>11316.782999999999</v>
      </c>
      <c r="C278" s="145">
        <f>_xlfn.IFNA(INDEX(Table_INPUT_2D[Y],MATCH(Table8[[#This Row],[UID]],Table_INPUT_2D[Unique ID],0)),"")</f>
        <v>4512.8530000000001</v>
      </c>
      <c r="D278" s="144">
        <f>_xlfn.IFNA(INDEX(Table_INPUT_2D[Z],MATCH(Table8[[#This Row],[UID]],Table_INPUT_2D[Unique ID],0)),"")</f>
        <v>267.25900000000001</v>
      </c>
      <c r="E278" s="146" t="s">
        <v>485</v>
      </c>
      <c r="G278" s="4" t="str">
        <f>IF($A$282 &lt;&gt; "",$A$282, "")</f>
        <v>MR9084</v>
      </c>
      <c r="H278" s="4">
        <f>IF($B$282 &lt;&gt; "",$B$282, "")</f>
        <v>11354.196</v>
      </c>
      <c r="I278" s="4">
        <f>IF($C$282 &lt;&gt; "",$C$282, "")</f>
        <v>4488.57</v>
      </c>
      <c r="J278" s="4">
        <f>IF($D$282 &lt;&gt; "",$D$282, "")</f>
        <v>267.61900000000003</v>
      </c>
      <c r="K278" s="156"/>
      <c r="L278" s="156"/>
      <c r="M278" s="156"/>
      <c r="N278" s="156">
        <f>$M$279-$M$277</f>
        <v>-9.7934999999999945</v>
      </c>
      <c r="O278" s="158"/>
      <c r="P278" s="159">
        <f>SQRT(($K$283-$K$277)^2 +($L$283-$L$277)^2)</f>
        <v>24.635425326143146</v>
      </c>
      <c r="AE278" s="148"/>
      <c r="AF278" s="148"/>
      <c r="AG278" s="148"/>
      <c r="AH278" s="148"/>
      <c r="AI278" s="148"/>
      <c r="AJ278" s="148"/>
      <c r="AK278" s="148"/>
    </row>
    <row r="279" spans="1:37" x14ac:dyDescent="0.2">
      <c r="A279" s="142" t="s">
        <v>491</v>
      </c>
      <c r="B279" s="143">
        <f>_xlfn.IFNA(INDEX(Table_INPUT_2D[X],MATCH(Table8[[#This Row],[UID]],Table_INPUT_2D[Unique ID],0)),"")</f>
        <v>11335.536</v>
      </c>
      <c r="C279" s="145">
        <f>_xlfn.IFNA(INDEX(Table_INPUT_2D[Y],MATCH(Table8[[#This Row],[UID]],Table_INPUT_2D[Unique ID],0)),"")</f>
        <v>4516.1289999999999</v>
      </c>
      <c r="D279" s="144">
        <f>_xlfn.IFNA(INDEX(Table_INPUT_2D[Z],MATCH(Table8[[#This Row],[UID]],Table_INPUT_2D[Unique ID],0)),"")</f>
        <v>269.45699999999999</v>
      </c>
      <c r="E279" s="146" t="s">
        <v>490</v>
      </c>
      <c r="G279" s="4" t="str">
        <f>IF($A$287 &lt;&gt; "",$A$287, "")</f>
        <v>MR9086</v>
      </c>
      <c r="H279" s="4">
        <f>IF($B$287 &lt;&gt; "",$B$287, "")</f>
        <v>11398.329</v>
      </c>
      <c r="I279" s="4">
        <f>IF($C$287 &lt;&gt; "",$C$287, "")</f>
        <v>4480.9759999999997</v>
      </c>
      <c r="J279" s="4">
        <f>IF($D$287 &lt;&gt; "",$D$287, "")</f>
        <v>257.82499999999999</v>
      </c>
      <c r="K279" s="156">
        <f>AVERAGE($H$279,$H$280)</f>
        <v>11398.3295</v>
      </c>
      <c r="L279" s="156">
        <f>AVERAGE($I$279,$I$280)</f>
        <v>4480.9764999999998</v>
      </c>
      <c r="M279" s="156">
        <f>AVERAGE($J$279,$J$280)</f>
        <v>257.82550000000003</v>
      </c>
      <c r="N279" s="156"/>
      <c r="O279" s="158">
        <f>$O$277+($N$278)</f>
        <v>176.68468801652904</v>
      </c>
      <c r="P279" s="159"/>
      <c r="AE279" s="148"/>
      <c r="AF279" s="148"/>
      <c r="AG279" s="148"/>
      <c r="AH279" s="148"/>
      <c r="AI279" s="148"/>
      <c r="AJ279" s="148"/>
      <c r="AK279" s="148"/>
    </row>
    <row r="280" spans="1:37" x14ac:dyDescent="0.2">
      <c r="A280" s="142" t="s">
        <v>491</v>
      </c>
      <c r="B280" s="143">
        <f>_xlfn.IFNA(INDEX(Table_INPUT_2D[X],MATCH(Table8[[#This Row],[UID]],Table_INPUT_2D[Unique ID],0)),"")</f>
        <v>11335.536</v>
      </c>
      <c r="C280" s="145">
        <f>_xlfn.IFNA(INDEX(Table_INPUT_2D[Y],MATCH(Table8[[#This Row],[UID]],Table_INPUT_2D[Unique ID],0)),"")</f>
        <v>4516.1289999999999</v>
      </c>
      <c r="D280" s="144">
        <f>_xlfn.IFNA(INDEX(Table_INPUT_2D[Z],MATCH(Table8[[#This Row],[UID]],Table_INPUT_2D[Unique ID],0)),"")</f>
        <v>269.45800000000003</v>
      </c>
      <c r="E280" s="146" t="s">
        <v>492</v>
      </c>
      <c r="G280" s="4" t="str">
        <f>IF($A$288 &lt;&gt; "",$A$288, "")</f>
        <v>MR9086</v>
      </c>
      <c r="H280" s="4">
        <f>IF($B$288 &lt;&gt; "",$B$288, "")</f>
        <v>11398.33</v>
      </c>
      <c r="I280" s="4">
        <f>IF($C$288 &lt;&gt; "",$C$288, "")</f>
        <v>4480.9769999999999</v>
      </c>
      <c r="J280" s="4">
        <f>IF($D$288 &lt;&gt; "",$D$288, "")</f>
        <v>257.82600000000002</v>
      </c>
      <c r="K280" s="156"/>
      <c r="L280" s="156"/>
      <c r="M280" s="156"/>
      <c r="N280" s="156">
        <f>$M$281-$M$279</f>
        <v>-2.7610000000000241</v>
      </c>
      <c r="O280" s="158"/>
      <c r="P280" s="159">
        <f>SQRT(($K$281-$K$279)^2 +($L$281-$L$279)^2)</f>
        <v>18.703351491109856</v>
      </c>
      <c r="AE280" s="148"/>
      <c r="AF280" s="148"/>
      <c r="AG280" s="148"/>
      <c r="AH280" s="148"/>
      <c r="AI280" s="148"/>
      <c r="AJ280" s="148"/>
      <c r="AK280" s="148"/>
    </row>
    <row r="281" spans="1:37" x14ac:dyDescent="0.2">
      <c r="A281" s="142" t="s">
        <v>494</v>
      </c>
      <c r="B281" s="143">
        <f>_xlfn.IFNA(INDEX(Table_INPUT_2D[X],MATCH(Table8[[#This Row],[UID]],Table_INPUT_2D[Unique ID],0)),"")</f>
        <v>11354.196</v>
      </c>
      <c r="C281" s="145">
        <f>_xlfn.IFNA(INDEX(Table_INPUT_2D[Y],MATCH(Table8[[#This Row],[UID]],Table_INPUT_2D[Unique ID],0)),"")</f>
        <v>4488.57</v>
      </c>
      <c r="D281" s="144">
        <f>_xlfn.IFNA(INDEX(Table_INPUT_2D[Z],MATCH(Table8[[#This Row],[UID]],Table_INPUT_2D[Unique ID],0)),"")</f>
        <v>267.61900000000003</v>
      </c>
      <c r="E281" s="146" t="s">
        <v>493</v>
      </c>
      <c r="G281" s="4" t="str">
        <f>IF($A$291 &lt;&gt; "",$A$291, "")</f>
        <v>MR9087</v>
      </c>
      <c r="H281" s="4">
        <f>IF($B$291 &lt;&gt; "",$B$291, "")</f>
        <v>11416.741</v>
      </c>
      <c r="I281" s="4">
        <f>IF($C$291 &lt;&gt; "",$C$291, "")</f>
        <v>4477.683</v>
      </c>
      <c r="J281" s="4">
        <f>IF($D$291 &lt;&gt; "",$D$291, "")</f>
        <v>255.066</v>
      </c>
      <c r="K281" s="156">
        <f>AVERAGE($H$281,$H$282)</f>
        <v>11416.7405</v>
      </c>
      <c r="L281" s="156">
        <f>AVERAGE($I$281,$I$282)</f>
        <v>4477.6824999999999</v>
      </c>
      <c r="M281" s="156">
        <f>AVERAGE($J$281,$J$282)</f>
        <v>255.06450000000001</v>
      </c>
      <c r="N281" s="156"/>
      <c r="O281" s="158">
        <f>$O$279+($N$280)</f>
        <v>173.92368801652901</v>
      </c>
      <c r="P281" s="159"/>
      <c r="AE281" s="148"/>
      <c r="AF281" s="148"/>
      <c r="AG281" s="148"/>
      <c r="AH281" s="148"/>
      <c r="AI281" s="148"/>
      <c r="AJ281" s="148"/>
      <c r="AK281" s="148"/>
    </row>
    <row r="282" spans="1:37" x14ac:dyDescent="0.2">
      <c r="A282" s="142" t="s">
        <v>494</v>
      </c>
      <c r="B282" s="143">
        <f>_xlfn.IFNA(INDEX(Table_INPUT_2D[X],MATCH(Table8[[#This Row],[UID]],Table_INPUT_2D[Unique ID],0)),"")</f>
        <v>11354.196</v>
      </c>
      <c r="C282" s="145">
        <f>_xlfn.IFNA(INDEX(Table_INPUT_2D[Y],MATCH(Table8[[#This Row],[UID]],Table_INPUT_2D[Unique ID],0)),"")</f>
        <v>4488.57</v>
      </c>
      <c r="D282" s="144">
        <f>_xlfn.IFNA(INDEX(Table_INPUT_2D[Z],MATCH(Table8[[#This Row],[UID]],Table_INPUT_2D[Unique ID],0)),"")</f>
        <v>267.61900000000003</v>
      </c>
      <c r="E282" s="146" t="s">
        <v>495</v>
      </c>
      <c r="G282" s="4" t="str">
        <f>IF($A$292 &lt;&gt; "",$A$292, "")</f>
        <v>MR9087</v>
      </c>
      <c r="H282" s="4">
        <f>IF($B$292 &lt;&gt; "",$B$292, "")</f>
        <v>11416.74</v>
      </c>
      <c r="I282" s="4">
        <f>IF($C$292 &lt;&gt; "",$C$292, "")</f>
        <v>4477.6819999999998</v>
      </c>
      <c r="J282" s="4">
        <f>IF($D$292 &lt;&gt; "",$D$292, "")</f>
        <v>255.06299999999999</v>
      </c>
      <c r="K282" s="156"/>
      <c r="L282" s="156"/>
      <c r="M282" s="156"/>
      <c r="N282" s="156">
        <f>$M$283-$M$281</f>
        <v>7.4849999999999568</v>
      </c>
      <c r="O282" s="158"/>
      <c r="P282" s="159"/>
      <c r="AE282" s="148"/>
      <c r="AF282" s="148"/>
      <c r="AG282" s="148"/>
      <c r="AH282" s="148"/>
      <c r="AI282" s="148"/>
      <c r="AJ282" s="148"/>
      <c r="AK282" s="148"/>
    </row>
    <row r="283" spans="1:37" x14ac:dyDescent="0.2">
      <c r="A283" s="142" t="s">
        <v>497</v>
      </c>
      <c r="B283" s="143">
        <f>_xlfn.IFNA(INDEX(Table_INPUT_2D[X],MATCH(Table8[[#This Row],[UID]],Table_INPUT_2D[Unique ID],0)),"")</f>
        <v>11351.044</v>
      </c>
      <c r="C283" s="145">
        <f>_xlfn.IFNA(INDEX(Table_INPUT_2D[Y],MATCH(Table8[[#This Row],[UID]],Table_INPUT_2D[Unique ID],0)),"")</f>
        <v>4517.53</v>
      </c>
      <c r="D283" s="144">
        <f>_xlfn.IFNA(INDEX(Table_INPUT_2D[Z],MATCH(Table8[[#This Row],[UID]],Table_INPUT_2D[Unique ID],0)),"")</f>
        <v>269.58</v>
      </c>
      <c r="E283" s="146" t="s">
        <v>496</v>
      </c>
      <c r="G283" s="4" t="str">
        <f>IF($A$295 &lt;&gt; "",$A$295, "")</f>
        <v>MR9085</v>
      </c>
      <c r="H283" s="4">
        <f>IF($B$295 &lt;&gt; "",$B$295, "")</f>
        <v>11378.505999999999</v>
      </c>
      <c r="I283" s="4">
        <f>IF($C$295 &lt;&gt; "",$C$295, "")</f>
        <v>4484.5789999999997</v>
      </c>
      <c r="J283" s="4">
        <f>IF($D$295 &lt;&gt; "",$D$295, "")</f>
        <v>262.55</v>
      </c>
      <c r="K283" s="156">
        <f>AVERAGE($H$283,$H$284)</f>
        <v>11378.505999999999</v>
      </c>
      <c r="L283" s="156">
        <f>AVERAGE($I$283,$I$284)</f>
        <v>4484.5789999999997</v>
      </c>
      <c r="M283" s="156">
        <f>AVERAGE($J$283,$J$284)</f>
        <v>262.54949999999997</v>
      </c>
      <c r="N283" s="156"/>
      <c r="O283" s="158">
        <f>$O$281+($N$282)</f>
        <v>181.40868801652897</v>
      </c>
      <c r="P283" s="156"/>
      <c r="AE283" s="148"/>
      <c r="AF283" s="148"/>
      <c r="AG283" s="148"/>
      <c r="AH283" s="148"/>
      <c r="AI283" s="148"/>
      <c r="AJ283" s="148"/>
      <c r="AK283" s="148"/>
    </row>
    <row r="284" spans="1:37" x14ac:dyDescent="0.2">
      <c r="A284" s="142" t="s">
        <v>497</v>
      </c>
      <c r="B284" s="143">
        <f>_xlfn.IFNA(INDEX(Table_INPUT_2D[X],MATCH(Table8[[#This Row],[UID]],Table_INPUT_2D[Unique ID],0)),"")</f>
        <v>11351.045</v>
      </c>
      <c r="C284" s="145">
        <f>_xlfn.IFNA(INDEX(Table_INPUT_2D[Y],MATCH(Table8[[#This Row],[UID]],Table_INPUT_2D[Unique ID],0)),"")</f>
        <v>4517.53</v>
      </c>
      <c r="D284" s="144">
        <f>_xlfn.IFNA(INDEX(Table_INPUT_2D[Z],MATCH(Table8[[#This Row],[UID]],Table_INPUT_2D[Unique ID],0)),"")</f>
        <v>269.57900000000001</v>
      </c>
      <c r="E284" s="146" t="s">
        <v>498</v>
      </c>
      <c r="G284" s="4" t="str">
        <f>IF($A$296 &lt;&gt; "",$A$296, "")</f>
        <v>MR9085</v>
      </c>
      <c r="H284" s="4">
        <f>IF($B$296 &lt;&gt; "",$B$296, "")</f>
        <v>11378.505999999999</v>
      </c>
      <c r="I284" s="4">
        <f>IF($C$296 &lt;&gt; "",$C$296, "")</f>
        <v>4484.5789999999997</v>
      </c>
      <c r="J284" s="4">
        <f>IF($D$296 &lt;&gt; "",$D$296, "")</f>
        <v>262.54899999999998</v>
      </c>
      <c r="K284" s="156"/>
      <c r="L284" s="156"/>
      <c r="M284" s="156"/>
      <c r="N284" s="4"/>
      <c r="O284" s="4"/>
      <c r="P284" s="4"/>
      <c r="AE284" s="148"/>
      <c r="AF284" s="148"/>
      <c r="AG284" s="148"/>
      <c r="AH284" s="148"/>
      <c r="AI284" s="148"/>
      <c r="AJ284" s="148"/>
      <c r="AK284" s="148"/>
    </row>
    <row r="285" spans="1:37" x14ac:dyDescent="0.2">
      <c r="A285" s="142" t="s">
        <v>505</v>
      </c>
      <c r="B285" s="143">
        <f>_xlfn.IFNA(INDEX(Table_INPUT_2D[X],MATCH(Table8[[#This Row],[UID]],Table_INPUT_2D[Unique ID],0)),"")</f>
        <v>11374.334999999999</v>
      </c>
      <c r="C285" s="145">
        <f>_xlfn.IFNA(INDEX(Table_INPUT_2D[Y],MATCH(Table8[[#This Row],[UID]],Table_INPUT_2D[Unique ID],0)),"")</f>
        <v>4514.72</v>
      </c>
      <c r="D285" s="144">
        <f>_xlfn.IFNA(INDEX(Table_INPUT_2D[Z],MATCH(Table8[[#This Row],[UID]],Table_INPUT_2D[Unique ID],0)),"")</f>
        <v>266.58600000000001</v>
      </c>
      <c r="E285" s="146" t="s">
        <v>504</v>
      </c>
      <c r="G285" s="4" t="str">
        <f>IF($A$297 &lt;&gt; "",$A$297, "")</f>
        <v>CLOSE</v>
      </c>
      <c r="H285" s="4" t="str">
        <f>IF($B$297 &lt;&gt; "",$B$297, "")</f>
        <v/>
      </c>
      <c r="I285" s="4" t="str">
        <f>IF($C$297 &lt;&gt; "",$C$297, "")</f>
        <v/>
      </c>
      <c r="J285" s="4" t="str">
        <f>IF($D$297 &lt;&gt; "",$D$297, "")</f>
        <v/>
      </c>
      <c r="K285" s="156"/>
      <c r="L285" s="156"/>
      <c r="M285" s="156"/>
      <c r="N285" s="156"/>
      <c r="O285" s="158"/>
      <c r="P285" s="156"/>
      <c r="AE285" s="148"/>
      <c r="AF285" s="148"/>
      <c r="AG285" s="148"/>
      <c r="AH285" s="148"/>
      <c r="AI285" s="148"/>
      <c r="AJ285" s="148"/>
      <c r="AK285" s="148"/>
    </row>
    <row r="286" spans="1:37" x14ac:dyDescent="0.2">
      <c r="A286" s="142" t="s">
        <v>505</v>
      </c>
      <c r="B286" s="143">
        <f>_xlfn.IFNA(INDEX(Table_INPUT_2D[X],MATCH(Table8[[#This Row],[UID]],Table_INPUT_2D[Unique ID],0)),"")</f>
        <v>11374.334999999999</v>
      </c>
      <c r="C286" s="145">
        <f>_xlfn.IFNA(INDEX(Table_INPUT_2D[Y],MATCH(Table8[[#This Row],[UID]],Table_INPUT_2D[Unique ID],0)),"")</f>
        <v>4514.7190000000001</v>
      </c>
      <c r="D286" s="144">
        <f>_xlfn.IFNA(INDEX(Table_INPUT_2D[Z],MATCH(Table8[[#This Row],[UID]],Table_INPUT_2D[Unique ID],0)),"")</f>
        <v>266.58699999999999</v>
      </c>
      <c r="E286" s="146" t="s">
        <v>506</v>
      </c>
      <c r="G286" s="4" t="str">
        <f>IF($A$298 &lt;&gt; "",$A$298, "")</f>
        <v>MR9083</v>
      </c>
      <c r="H286" s="4">
        <f>IF($B$298 &lt;&gt; "",$B$298, "")</f>
        <v>11331.939</v>
      </c>
      <c r="I286" s="4">
        <f>IF($C$298 &lt;&gt; "",$C$298, "")</f>
        <v>4487.1260000000002</v>
      </c>
      <c r="J286" s="4">
        <f>IF($D$298 &lt;&gt; "",$D$298, "")</f>
        <v>270.49900000000002</v>
      </c>
      <c r="K286" s="156">
        <f>AVERAGE($H$286,$H$287)</f>
        <v>11331.939</v>
      </c>
      <c r="L286" s="156">
        <f>AVERAGE($I$286,$I$287)</f>
        <v>4487.1255000000001</v>
      </c>
      <c r="M286" s="156">
        <f>AVERAGE($J$286,$J$287)</f>
        <v>270.49900000000002</v>
      </c>
      <c r="N286" s="156"/>
      <c r="O286" s="158">
        <f>$O$288+(-$N$287)</f>
        <v>189.35818801652903</v>
      </c>
      <c r="P286" s="156"/>
      <c r="AE286" s="148"/>
      <c r="AF286" s="148"/>
      <c r="AG286" s="148"/>
      <c r="AH286" s="148"/>
      <c r="AI286" s="148"/>
      <c r="AJ286" s="148"/>
      <c r="AK286" s="148"/>
    </row>
    <row r="287" spans="1:37" x14ac:dyDescent="0.2">
      <c r="A287" s="142" t="s">
        <v>508</v>
      </c>
      <c r="B287" s="143">
        <f>_xlfn.IFNA(INDEX(Table_INPUT_2D[X],MATCH(Table8[[#This Row],[UID]],Table_INPUT_2D[Unique ID],0)),"")</f>
        <v>11398.329</v>
      </c>
      <c r="C287" s="145">
        <f>_xlfn.IFNA(INDEX(Table_INPUT_2D[Y],MATCH(Table8[[#This Row],[UID]],Table_INPUT_2D[Unique ID],0)),"")</f>
        <v>4480.9759999999997</v>
      </c>
      <c r="D287" s="144">
        <f>_xlfn.IFNA(INDEX(Table_INPUT_2D[Z],MATCH(Table8[[#This Row],[UID]],Table_INPUT_2D[Unique ID],0)),"")</f>
        <v>257.82499999999999</v>
      </c>
      <c r="E287" s="146" t="s">
        <v>507</v>
      </c>
      <c r="G287" s="4" t="str">
        <f>IF($A$299 &lt;&gt; "",$A$299, "")</f>
        <v>MR9083</v>
      </c>
      <c r="H287" s="4">
        <f>IF($B$299 &lt;&gt; "",$B$299, "")</f>
        <v>11331.939</v>
      </c>
      <c r="I287" s="4">
        <f>IF($C$299 &lt;&gt; "",$C$299, "")</f>
        <v>4487.125</v>
      </c>
      <c r="J287" s="4">
        <f>IF($D$299 &lt;&gt; "",$D$299, "")</f>
        <v>270.49900000000002</v>
      </c>
      <c r="K287" s="156"/>
      <c r="L287" s="156"/>
      <c r="M287" s="156"/>
      <c r="N287" s="156">
        <f>$M$288-$M$286</f>
        <v>-7.9495000000000573</v>
      </c>
      <c r="O287" s="158"/>
      <c r="P287" s="156">
        <f>SQRT(($K$288-$K$286)^2 +($L$288-$L$286)^2)</f>
        <v>46.636575252155019</v>
      </c>
      <c r="AE287" s="148"/>
      <c r="AF287" s="148"/>
      <c r="AG287" s="148"/>
      <c r="AH287" s="148"/>
      <c r="AI287" s="148"/>
      <c r="AJ287" s="148"/>
      <c r="AK287" s="148"/>
    </row>
    <row r="288" spans="1:37" x14ac:dyDescent="0.2">
      <c r="A288" s="142" t="s">
        <v>508</v>
      </c>
      <c r="B288" s="143">
        <f>_xlfn.IFNA(INDEX(Table_INPUT_2D[X],MATCH(Table8[[#This Row],[UID]],Table_INPUT_2D[Unique ID],0)),"")</f>
        <v>11398.33</v>
      </c>
      <c r="C288" s="145">
        <f>_xlfn.IFNA(INDEX(Table_INPUT_2D[Y],MATCH(Table8[[#This Row],[UID]],Table_INPUT_2D[Unique ID],0)),"")</f>
        <v>4480.9769999999999</v>
      </c>
      <c r="D288" s="144">
        <f>_xlfn.IFNA(INDEX(Table_INPUT_2D[Z],MATCH(Table8[[#This Row],[UID]],Table_INPUT_2D[Unique ID],0)),"")</f>
        <v>257.82600000000002</v>
      </c>
      <c r="E288" s="146" t="s">
        <v>509</v>
      </c>
      <c r="G288" s="4" t="str">
        <f>IF($A$300 &lt;&gt; "",$A$300, "")</f>
        <v>MR9085</v>
      </c>
      <c r="H288" s="4">
        <f>IF($B$300 &lt;&gt; "",$B$300, "")</f>
        <v>11378.505999999999</v>
      </c>
      <c r="I288" s="4">
        <f>IF($C$300 &lt;&gt; "",$C$300, "")</f>
        <v>4484.5789999999997</v>
      </c>
      <c r="J288" s="4">
        <f>IF($D$300 &lt;&gt; "",$D$300, "")</f>
        <v>262.55</v>
      </c>
      <c r="K288" s="156">
        <f>AVERAGE($H$288,$H$289)</f>
        <v>11378.505999999999</v>
      </c>
      <c r="L288" s="156">
        <f>AVERAGE($I$288,$I$289)</f>
        <v>4484.5789999999997</v>
      </c>
      <c r="M288" s="156">
        <f>AVERAGE($J$288,$J$289)</f>
        <v>262.54949999999997</v>
      </c>
      <c r="N288" s="156"/>
      <c r="O288" s="158">
        <f>$O$283</f>
        <v>181.40868801652897</v>
      </c>
      <c r="P288" s="156"/>
      <c r="AE288" s="148"/>
      <c r="AF288" s="148"/>
      <c r="AG288" s="148"/>
      <c r="AH288" s="148"/>
      <c r="AI288" s="148"/>
      <c r="AJ288" s="148"/>
      <c r="AK288" s="148"/>
    </row>
    <row r="289" spans="1:38" x14ac:dyDescent="0.2">
      <c r="A289" s="142" t="s">
        <v>511</v>
      </c>
      <c r="B289" s="143">
        <f>_xlfn.IFNA(INDEX(Table_INPUT_2D[X],MATCH(Table8[[#This Row],[UID]],Table_INPUT_2D[Unique ID],0)),"")</f>
        <v>11393.44</v>
      </c>
      <c r="C289" s="145">
        <f>_xlfn.IFNA(INDEX(Table_INPUT_2D[Y],MATCH(Table8[[#This Row],[UID]],Table_INPUT_2D[Unique ID],0)),"")</f>
        <v>4507.7889999999998</v>
      </c>
      <c r="D289" s="144">
        <f>_xlfn.IFNA(INDEX(Table_INPUT_2D[Z],MATCH(Table8[[#This Row],[UID]],Table_INPUT_2D[Unique ID],0)),"")</f>
        <v>261.589</v>
      </c>
      <c r="E289" s="146" t="s">
        <v>510</v>
      </c>
      <c r="G289" s="4" t="str">
        <f>IF($A$301 &lt;&gt; "",$A$301, "")</f>
        <v>MR9085</v>
      </c>
      <c r="H289" s="4">
        <f>IF($B$301 &lt;&gt; "",$B$301, "")</f>
        <v>11378.505999999999</v>
      </c>
      <c r="I289" s="4">
        <f>IF($C$301 &lt;&gt; "",$C$301, "")</f>
        <v>4484.5789999999997</v>
      </c>
      <c r="J289" s="4">
        <f>IF($D$301 &lt;&gt; "",$D$301, "")</f>
        <v>262.54899999999998</v>
      </c>
      <c r="K289" s="156"/>
      <c r="L289" s="156"/>
      <c r="M289" s="156"/>
      <c r="N289" s="156"/>
      <c r="O289" s="158"/>
      <c r="P289" s="156"/>
      <c r="AE289" s="148"/>
      <c r="AF289" s="148"/>
      <c r="AG289" s="148"/>
      <c r="AH289" s="148"/>
      <c r="AI289" s="148"/>
      <c r="AJ289" s="148"/>
      <c r="AK289" s="148"/>
    </row>
    <row r="290" spans="1:38" x14ac:dyDescent="0.2">
      <c r="A290" s="142" t="s">
        <v>511</v>
      </c>
      <c r="B290" s="143">
        <f>_xlfn.IFNA(INDEX(Table_INPUT_2D[X],MATCH(Table8[[#This Row],[UID]],Table_INPUT_2D[Unique ID],0)),"")</f>
        <v>11393.439</v>
      </c>
      <c r="C290" s="145">
        <f>_xlfn.IFNA(INDEX(Table_INPUT_2D[Y],MATCH(Table8[[#This Row],[UID]],Table_INPUT_2D[Unique ID],0)),"")</f>
        <v>4507.79</v>
      </c>
      <c r="D290" s="144">
        <f>_xlfn.IFNA(INDEX(Table_INPUT_2D[Z],MATCH(Table8[[#This Row],[UID]],Table_INPUT_2D[Unique ID],0)),"")</f>
        <v>261.58999999999997</v>
      </c>
      <c r="E290" s="146" t="s">
        <v>512</v>
      </c>
      <c r="G290" s="4" t="str">
        <f>IF($A$302 &lt;&gt; "",$A$302, "")</f>
        <v>STATION</v>
      </c>
      <c r="H290" s="4" t="str">
        <f>IF($B$302 &lt;&gt; "",$B$302, "")</f>
        <v/>
      </c>
      <c r="I290" s="4" t="str">
        <f>IF($C$302 &lt;&gt; "",$C$302, "")</f>
        <v/>
      </c>
      <c r="J290" s="4" t="str">
        <f>IF($D$302 &lt;&gt; "",$D$302, "")</f>
        <v/>
      </c>
      <c r="K290" s="156"/>
      <c r="L290" s="156"/>
      <c r="M290" s="156"/>
      <c r="N290" s="156"/>
      <c r="O290" s="158"/>
      <c r="P290" s="156"/>
      <c r="AE290" s="148"/>
      <c r="AF290" s="148"/>
      <c r="AG290" s="148"/>
      <c r="AH290" s="148"/>
      <c r="AI290" s="148"/>
      <c r="AJ290" s="148"/>
      <c r="AK290" s="148"/>
    </row>
    <row r="291" spans="1:38" x14ac:dyDescent="0.2">
      <c r="A291" s="142" t="s">
        <v>514</v>
      </c>
      <c r="B291" s="143">
        <f>_xlfn.IFNA(INDEX(Table_INPUT_2D[X],MATCH(Table8[[#This Row],[UID]],Table_INPUT_2D[Unique ID],0)),"")</f>
        <v>11416.741</v>
      </c>
      <c r="C291" s="145">
        <f>_xlfn.IFNA(INDEX(Table_INPUT_2D[Y],MATCH(Table8[[#This Row],[UID]],Table_INPUT_2D[Unique ID],0)),"")</f>
        <v>4477.683</v>
      </c>
      <c r="D291" s="144">
        <f>_xlfn.IFNA(INDEX(Table_INPUT_2D[Z],MATCH(Table8[[#This Row],[UID]],Table_INPUT_2D[Unique ID],0)),"")</f>
        <v>255.066</v>
      </c>
      <c r="E291" s="146" t="s">
        <v>513</v>
      </c>
      <c r="G291" s="4" t="str">
        <f>IF($A$303 &lt;&gt; "",$A$303, "")</f>
        <v>MR9085</v>
      </c>
      <c r="H291" s="4">
        <f>IF($B$303 &lt;&gt; "",$B$303, "")</f>
        <v>11378.504000000001</v>
      </c>
      <c r="I291" s="4">
        <f>IF($C$303 &lt;&gt; "",$C$303, "")</f>
        <v>4484.576</v>
      </c>
      <c r="J291" s="4">
        <f>IF($D$303 &lt;&gt; "",$D$303, "")</f>
        <v>262.54700000000003</v>
      </c>
      <c r="K291" s="156">
        <f>AVERAGE($H$291,$H$292)</f>
        <v>11378.503500000001</v>
      </c>
      <c r="L291" s="156">
        <f>AVERAGE($I$291,$I$292)</f>
        <v>4484.5745000000006</v>
      </c>
      <c r="M291" s="156">
        <f>AVERAGE($J$291,$J$292)</f>
        <v>262.548</v>
      </c>
      <c r="N291" s="156"/>
      <c r="O291" s="158">
        <f>$O$283</f>
        <v>181.40868801652897</v>
      </c>
      <c r="P291" s="156"/>
      <c r="AE291" s="148"/>
      <c r="AF291" s="148"/>
      <c r="AG291" s="148"/>
      <c r="AH291" s="148"/>
      <c r="AI291" s="148"/>
      <c r="AJ291" s="148"/>
      <c r="AK291" s="148"/>
    </row>
    <row r="292" spans="1:38" x14ac:dyDescent="0.2">
      <c r="A292" s="142" t="s">
        <v>514</v>
      </c>
      <c r="B292" s="143">
        <f>_xlfn.IFNA(INDEX(Table_INPUT_2D[X],MATCH(Table8[[#This Row],[UID]],Table_INPUT_2D[Unique ID],0)),"")</f>
        <v>11416.74</v>
      </c>
      <c r="C292" s="145">
        <f>_xlfn.IFNA(INDEX(Table_INPUT_2D[Y],MATCH(Table8[[#This Row],[UID]],Table_INPUT_2D[Unique ID],0)),"")</f>
        <v>4477.6819999999998</v>
      </c>
      <c r="D292" s="144">
        <f>_xlfn.IFNA(INDEX(Table_INPUT_2D[Z],MATCH(Table8[[#This Row],[UID]],Table_INPUT_2D[Unique ID],0)),"")</f>
        <v>255.06299999999999</v>
      </c>
      <c r="E292" s="146" t="s">
        <v>515</v>
      </c>
      <c r="G292" s="4" t="str">
        <f>IF($A$304 &lt;&gt; "",$A$304, "")</f>
        <v>MR9085</v>
      </c>
      <c r="H292" s="4">
        <f>IF($B$304 &lt;&gt; "",$B$304, "")</f>
        <v>11378.503000000001</v>
      </c>
      <c r="I292" s="4">
        <f>IF($C$304 &lt;&gt; "",$C$304, "")</f>
        <v>4484.5730000000003</v>
      </c>
      <c r="J292" s="4">
        <f>IF($D$304 &lt;&gt; "",$D$304, "")</f>
        <v>262.54899999999998</v>
      </c>
      <c r="K292" s="156"/>
      <c r="L292" s="156"/>
      <c r="M292" s="156"/>
      <c r="N292" s="156">
        <f>$M$293-$M$291</f>
        <v>-4.7250000000000227</v>
      </c>
      <c r="O292" s="158"/>
      <c r="P292" s="156">
        <f>SQRT(($K$293-$K$291)^2 +($L$293-$L$291)^2)</f>
        <v>20.148090635341855</v>
      </c>
      <c r="AE292" s="148"/>
      <c r="AF292" s="148"/>
      <c r="AG292" s="148"/>
      <c r="AH292" s="148"/>
      <c r="AI292" s="148"/>
      <c r="AJ292" s="148"/>
      <c r="AK292" s="148"/>
    </row>
    <row r="293" spans="1:38" x14ac:dyDescent="0.2">
      <c r="A293" s="142" t="s">
        <v>517</v>
      </c>
      <c r="B293" s="143">
        <f>_xlfn.IFNA(INDEX(Table_INPUT_2D[X],MATCH(Table8[[#This Row],[UID]],Table_INPUT_2D[Unique ID],0)),"")</f>
        <v>11413.504000000001</v>
      </c>
      <c r="C293" s="145">
        <f>_xlfn.IFNA(INDEX(Table_INPUT_2D[Y],MATCH(Table8[[#This Row],[UID]],Table_INPUT_2D[Unique ID],0)),"")</f>
        <v>4500.6899999999996</v>
      </c>
      <c r="D293" s="144">
        <f>_xlfn.IFNA(INDEX(Table_INPUT_2D[Z],MATCH(Table8[[#This Row],[UID]],Table_INPUT_2D[Unique ID],0)),"")</f>
        <v>258.03199999999998</v>
      </c>
      <c r="E293" s="146" t="s">
        <v>516</v>
      </c>
      <c r="G293" s="4" t="str">
        <f>IF($A$305 &lt;&gt; "",$A$305, "")</f>
        <v>MR9086</v>
      </c>
      <c r="H293" s="4">
        <f>IF($B$305 &lt;&gt; "",$B$305, "")</f>
        <v>11398.326999999999</v>
      </c>
      <c r="I293" s="4">
        <f>IF($C$305 &lt;&gt; "",$C$305, "")</f>
        <v>4480.973</v>
      </c>
      <c r="J293" s="4">
        <f>IF($D$305 &lt;&gt; "",$D$305, "")</f>
        <v>257.822</v>
      </c>
      <c r="K293" s="156">
        <f>AVERAGE($H$293,$H$294)</f>
        <v>11398.326999999999</v>
      </c>
      <c r="L293" s="156">
        <f>AVERAGE($I$293,$I$294)</f>
        <v>4480.9724999999999</v>
      </c>
      <c r="M293" s="156">
        <f>AVERAGE($J$293,$J$294)</f>
        <v>257.82299999999998</v>
      </c>
      <c r="N293" s="156"/>
      <c r="O293" s="158">
        <f>$O$291+($N$292)</f>
        <v>176.68368801652895</v>
      </c>
      <c r="P293" s="156"/>
      <c r="AE293" s="148"/>
      <c r="AF293" s="148"/>
      <c r="AG293" s="148"/>
      <c r="AH293" s="148"/>
      <c r="AI293" s="148"/>
      <c r="AJ293" s="148"/>
      <c r="AK293" s="148"/>
    </row>
    <row r="294" spans="1:38" x14ac:dyDescent="0.2">
      <c r="A294" s="142" t="s">
        <v>517</v>
      </c>
      <c r="B294" s="143">
        <f>_xlfn.IFNA(INDEX(Table_INPUT_2D[X],MATCH(Table8[[#This Row],[UID]],Table_INPUT_2D[Unique ID],0)),"")</f>
        <v>11413.504000000001</v>
      </c>
      <c r="C294" s="145">
        <f>_xlfn.IFNA(INDEX(Table_INPUT_2D[Y],MATCH(Table8[[#This Row],[UID]],Table_INPUT_2D[Unique ID],0)),"")</f>
        <v>4500.6890000000003</v>
      </c>
      <c r="D294" s="144">
        <f>_xlfn.IFNA(INDEX(Table_INPUT_2D[Z],MATCH(Table8[[#This Row],[UID]],Table_INPUT_2D[Unique ID],0)),"")</f>
        <v>258.02999999999997</v>
      </c>
      <c r="E294" s="146" t="s">
        <v>518</v>
      </c>
      <c r="G294" s="4" t="str">
        <f>IF($A$306 &lt;&gt; "",$A$306, "")</f>
        <v>MR9086</v>
      </c>
      <c r="H294" s="4">
        <f>IF($B$306 &lt;&gt; "",$B$306, "")</f>
        <v>11398.326999999999</v>
      </c>
      <c r="I294" s="4">
        <f>IF($C$306 &lt;&gt; "",$C$306, "")</f>
        <v>4480.9719999999998</v>
      </c>
      <c r="J294" s="4">
        <f>IF($D$306 &lt;&gt; "",$D$306, "")</f>
        <v>257.82400000000001</v>
      </c>
      <c r="K294" s="156"/>
      <c r="L294" s="156"/>
      <c r="M294" s="156"/>
      <c r="N294" s="156">
        <f>$M$295-$M$293</f>
        <v>-2.7604999999999791</v>
      </c>
      <c r="O294" s="158"/>
      <c r="P294" s="156">
        <f>SQRT(($K$295-$K$293)^2 +($L$295-$L$293)^2)</f>
        <v>18.703263438501864</v>
      </c>
      <c r="AE294" s="148"/>
      <c r="AF294" s="148"/>
      <c r="AG294" s="148"/>
      <c r="AH294" s="148"/>
      <c r="AI294" s="148"/>
      <c r="AJ294" s="148"/>
      <c r="AK294" s="148"/>
    </row>
    <row r="295" spans="1:38" x14ac:dyDescent="0.2">
      <c r="A295" s="73" t="s">
        <v>500</v>
      </c>
      <c r="B295" s="140">
        <f>_xlfn.IFNA(INDEX(Table_INPUT_2D[X],MATCH(Table8[[#This Row],[UID]],Table_INPUT_2D[Unique ID],0)),"")</f>
        <v>11378.505999999999</v>
      </c>
      <c r="C295" s="140">
        <f>_xlfn.IFNA(INDEX(Table_INPUT_2D[Y],MATCH(Table8[[#This Row],[UID]],Table_INPUT_2D[Unique ID],0)),"")</f>
        <v>4484.5789999999997</v>
      </c>
      <c r="D295" s="140">
        <f>_xlfn.IFNA(INDEX(Table_INPUT_2D[Z],MATCH(Table8[[#This Row],[UID]],Table_INPUT_2D[Unique ID],0)),"")</f>
        <v>262.55</v>
      </c>
      <c r="E295" s="137" t="s">
        <v>499</v>
      </c>
      <c r="G295" s="4" t="str">
        <f>IF($A$307 &lt;&gt; "",$A$307, "")</f>
        <v>MR9087</v>
      </c>
      <c r="H295" s="4">
        <f>IF($B$307 &lt;&gt; "",$B$307, "")</f>
        <v>11416.737999999999</v>
      </c>
      <c r="I295" s="4">
        <f>IF($C$307 &lt;&gt; "",$C$307, "")</f>
        <v>4477.6790000000001</v>
      </c>
      <c r="J295" s="4">
        <f>IF($D$307 &lt;&gt; "",$D$307, "")</f>
        <v>255.06299999999999</v>
      </c>
      <c r="K295" s="156">
        <f>AVERAGE($H$295,$H$296)</f>
        <v>11416.737999999999</v>
      </c>
      <c r="L295" s="156">
        <f>AVERAGE($I$295,$I$296)</f>
        <v>4477.6790000000001</v>
      </c>
      <c r="M295" s="156">
        <f>AVERAGE($J$295,$J$296)</f>
        <v>255.0625</v>
      </c>
      <c r="N295" s="156"/>
      <c r="O295" s="158">
        <f>$O$293+($N$294)</f>
        <v>173.92318801652897</v>
      </c>
      <c r="P295" s="156"/>
      <c r="AE295" s="148"/>
      <c r="AF295" s="148"/>
      <c r="AG295" s="148"/>
      <c r="AH295" s="148"/>
      <c r="AI295" s="148"/>
      <c r="AJ295" s="148"/>
      <c r="AK295" s="148"/>
    </row>
    <row r="296" spans="1:38" x14ac:dyDescent="0.2">
      <c r="A296" s="73" t="s">
        <v>500</v>
      </c>
      <c r="B296" s="140">
        <f>_xlfn.IFNA(INDEX(Table_INPUT_2D[X],MATCH(Table8[[#This Row],[UID]],Table_INPUT_2D[Unique ID],0)),"")</f>
        <v>11378.505999999999</v>
      </c>
      <c r="C296" s="140">
        <f>_xlfn.IFNA(INDEX(Table_INPUT_2D[Y],MATCH(Table8[[#This Row],[UID]],Table_INPUT_2D[Unique ID],0)),"")</f>
        <v>4484.5789999999997</v>
      </c>
      <c r="D296" s="140">
        <f>_xlfn.IFNA(INDEX(Table_INPUT_2D[Z],MATCH(Table8[[#This Row],[UID]],Table_INPUT_2D[Unique ID],0)),"")</f>
        <v>262.54899999999998</v>
      </c>
      <c r="E296" s="137" t="s">
        <v>501</v>
      </c>
      <c r="G296" s="4" t="str">
        <f>IF($A$308 &lt;&gt; "",$A$308, "")</f>
        <v>MR9087</v>
      </c>
      <c r="H296" s="4">
        <f>IF($B$308 &lt;&gt; "",$B$308, "")</f>
        <v>11416.737999999999</v>
      </c>
      <c r="I296" s="4">
        <f>IF($C$308 &lt;&gt; "",$C$308, "")</f>
        <v>4477.6790000000001</v>
      </c>
      <c r="J296" s="4">
        <f>IF($D$308 &lt;&gt; "",$D$308, "")</f>
        <v>255.06200000000001</v>
      </c>
      <c r="K296" s="156"/>
      <c r="L296" s="156"/>
      <c r="M296" s="156"/>
      <c r="N296" s="156">
        <f>$M$297-$M$295</f>
        <v>-2.8514999999999873</v>
      </c>
      <c r="O296" s="158"/>
      <c r="P296" s="156">
        <f>SQRT(($K$297-$K$295)^2 +($L$297-$L$295)^2)</f>
        <v>20.553990129657464</v>
      </c>
      <c r="AE296" s="148"/>
      <c r="AF296" s="148"/>
      <c r="AG296" s="148"/>
      <c r="AH296" s="148"/>
      <c r="AI296" s="148"/>
      <c r="AJ296" s="148"/>
      <c r="AK296" s="148"/>
    </row>
    <row r="297" spans="1:38" x14ac:dyDescent="0.2">
      <c r="A297" s="142" t="s">
        <v>21</v>
      </c>
      <c r="B297" s="143" t="str">
        <f>_xlfn.IFNA(INDEX(Table_INPUT_2D[X],MATCH(Table8[[#This Row],[UID]],Table_INPUT_2D[Unique ID],0)),"")</f>
        <v/>
      </c>
      <c r="C297" s="145" t="str">
        <f>_xlfn.IFNA(INDEX(Table_INPUT_2D[Y],MATCH(Table8[[#This Row],[UID]],Table_INPUT_2D[Unique ID],0)),"")</f>
        <v/>
      </c>
      <c r="D297" s="144" t="str">
        <f>_xlfn.IFNA(INDEX(Table_INPUT_2D[Z],MATCH(Table8[[#This Row],[UID]],Table_INPUT_2D[Unique ID],0)),"")</f>
        <v/>
      </c>
      <c r="E297" s="146"/>
      <c r="G297" s="4" t="str">
        <f>IF($A$309 &lt;&gt; "",$A$309, "")</f>
        <v>MR9088</v>
      </c>
      <c r="H297" s="4">
        <f>IF($B$309 &lt;&gt; "",$B$309, "")</f>
        <v>11436.298000000001</v>
      </c>
      <c r="I297" s="4">
        <f>IF($C$309 &lt;&gt; "",$C$309, "")</f>
        <v>4471.3649999999998</v>
      </c>
      <c r="J297" s="4">
        <f>IF($D$309 &lt;&gt; "",$D$309, "")</f>
        <v>252.21100000000001</v>
      </c>
      <c r="K297" s="156">
        <f>AVERAGE($H$297,$H$298)</f>
        <v>11436.298000000001</v>
      </c>
      <c r="L297" s="156">
        <f>AVERAGE($I$297,$I$298)</f>
        <v>4471.3644999999997</v>
      </c>
      <c r="M297" s="156">
        <f>AVERAGE($J$297,$J$298)</f>
        <v>252.21100000000001</v>
      </c>
      <c r="N297" s="156"/>
      <c r="O297" s="158">
        <f>$O$295+($N$296)</f>
        <v>171.07168801652898</v>
      </c>
      <c r="P297" s="156"/>
      <c r="AE297" s="148"/>
      <c r="AF297" s="148"/>
      <c r="AG297" s="148"/>
      <c r="AH297" s="148"/>
      <c r="AI297" s="148"/>
      <c r="AJ297" s="148"/>
      <c r="AK297" s="148"/>
    </row>
    <row r="298" spans="1:38" x14ac:dyDescent="0.2">
      <c r="A298" s="142" t="s">
        <v>477</v>
      </c>
      <c r="B298" s="143">
        <f>_xlfn.IFNA(INDEX(Table_INPUT_2D[X],MATCH(Table8[[#This Row],[UID]],Table_INPUT_2D[Unique ID],0)),"")</f>
        <v>11331.939</v>
      </c>
      <c r="C298" s="145">
        <f>_xlfn.IFNA(INDEX(Table_INPUT_2D[Y],MATCH(Table8[[#This Row],[UID]],Table_INPUT_2D[Unique ID],0)),"")</f>
        <v>4487.1260000000002</v>
      </c>
      <c r="D298" s="144">
        <f>_xlfn.IFNA(INDEX(Table_INPUT_2D[Z],MATCH(Table8[[#This Row],[UID]],Table_INPUT_2D[Unique ID],0)),"")</f>
        <v>270.49900000000002</v>
      </c>
      <c r="E298" s="146" t="s">
        <v>488</v>
      </c>
      <c r="G298" s="4" t="str">
        <f>IF($A$310 &lt;&gt; "",$A$310, "")</f>
        <v>MR9088</v>
      </c>
      <c r="H298" s="4">
        <f>IF($B$310 &lt;&gt; "",$B$310, "")</f>
        <v>11436.298000000001</v>
      </c>
      <c r="I298" s="4">
        <f>IF($C$310 &lt;&gt; "",$C$310, "")</f>
        <v>4471.3639999999996</v>
      </c>
      <c r="J298" s="4">
        <f>IF($D$310 &lt;&gt; "",$D$310, "")</f>
        <v>252.21100000000001</v>
      </c>
      <c r="K298" s="156"/>
      <c r="L298" s="156"/>
      <c r="M298" s="156"/>
      <c r="N298" s="156">
        <f>$M$299-$M$297</f>
        <v>-2.8509999999999991</v>
      </c>
      <c r="O298" s="158"/>
      <c r="P298" s="156">
        <f>SQRT(($K$299-$K$297)^2 +($L$299-$L$297)^2)</f>
        <v>21.36587060009429</v>
      </c>
      <c r="AE298" s="148"/>
      <c r="AF298" s="148"/>
      <c r="AG298" s="148"/>
      <c r="AH298" s="148"/>
      <c r="AI298" s="148"/>
      <c r="AJ298" s="148"/>
      <c r="AK298" s="148"/>
    </row>
    <row r="299" spans="1:38" x14ac:dyDescent="0.2">
      <c r="A299" s="142" t="s">
        <v>477</v>
      </c>
      <c r="B299" s="143">
        <f>_xlfn.IFNA(INDEX(Table_INPUT_2D[X],MATCH(Table8[[#This Row],[UID]],Table_INPUT_2D[Unique ID],0)),"")</f>
        <v>11331.939</v>
      </c>
      <c r="C299" s="145">
        <f>_xlfn.IFNA(INDEX(Table_INPUT_2D[Y],MATCH(Table8[[#This Row],[UID]],Table_INPUT_2D[Unique ID],0)),"")</f>
        <v>4487.125</v>
      </c>
      <c r="D299" s="144">
        <f>_xlfn.IFNA(INDEX(Table_INPUT_2D[Z],MATCH(Table8[[#This Row],[UID]],Table_INPUT_2D[Unique ID],0)),"")</f>
        <v>270.49900000000002</v>
      </c>
      <c r="E299" s="146" t="s">
        <v>489</v>
      </c>
      <c r="G299" s="4" t="str">
        <f>IF($A$311 &lt;&gt; "",$A$311, "")</f>
        <v>MR9089</v>
      </c>
      <c r="H299" s="4">
        <f>IF($B$311 &lt;&gt; "",$B$311, "")</f>
        <v>11456.393</v>
      </c>
      <c r="I299" s="4">
        <f>IF($C$311 &lt;&gt; "",$C$311, "")</f>
        <v>4464.107</v>
      </c>
      <c r="J299" s="4">
        <f>IF($D$311 &lt;&gt; "",$D$311, "")</f>
        <v>249.36</v>
      </c>
      <c r="K299" s="156">
        <f>AVERAGE($H$299,$H$300)</f>
        <v>11456.3935</v>
      </c>
      <c r="L299" s="156">
        <f>AVERAGE($I$299,$I$300)</f>
        <v>4464.107</v>
      </c>
      <c r="M299" s="156">
        <f>AVERAGE($J$299,$J$300)</f>
        <v>249.36</v>
      </c>
      <c r="N299" s="156"/>
      <c r="O299" s="158">
        <f>$O$297+($N$298)</f>
        <v>168.22068801652898</v>
      </c>
      <c r="P299" s="156"/>
      <c r="AE299" s="148"/>
      <c r="AF299" s="148"/>
      <c r="AG299" s="148"/>
      <c r="AH299" s="148"/>
      <c r="AI299" s="148"/>
      <c r="AJ299" s="148"/>
      <c r="AK299" s="148"/>
    </row>
    <row r="300" spans="1:38" x14ac:dyDescent="0.2">
      <c r="A300" s="142" t="s">
        <v>500</v>
      </c>
      <c r="B300" s="143">
        <f>_xlfn.IFNA(INDEX(Table_INPUT_2D[X],MATCH(Table8[[#This Row],[UID]],Table_INPUT_2D[Unique ID],0)),"")</f>
        <v>11378.505999999999</v>
      </c>
      <c r="C300" s="145">
        <f>_xlfn.IFNA(INDEX(Table_INPUT_2D[Y],MATCH(Table8[[#This Row],[UID]],Table_INPUT_2D[Unique ID],0)),"")</f>
        <v>4484.5789999999997</v>
      </c>
      <c r="D300" s="144">
        <f>_xlfn.IFNA(INDEX(Table_INPUT_2D[Z],MATCH(Table8[[#This Row],[UID]],Table_INPUT_2D[Unique ID],0)),"")</f>
        <v>262.55</v>
      </c>
      <c r="E300" s="146" t="s">
        <v>502</v>
      </c>
      <c r="G300" s="4" t="str">
        <f>IF($A$312 &lt;&gt; "",$A$312, "")</f>
        <v>MR9089</v>
      </c>
      <c r="H300" s="4">
        <f>IF($B$312 &lt;&gt; "",$B$312, "")</f>
        <v>11456.394</v>
      </c>
      <c r="I300" s="4">
        <f>IF($C$312 &lt;&gt; "",$C$312, "")</f>
        <v>4464.107</v>
      </c>
      <c r="J300" s="4">
        <f>IF($D$312 &lt;&gt; "",$D$312, "")</f>
        <v>249.36</v>
      </c>
      <c r="K300" s="156"/>
      <c r="L300" s="156"/>
      <c r="M300" s="156"/>
      <c r="N300" s="156">
        <f>$M$301-$M$299</f>
        <v>-2.1500000000000057</v>
      </c>
      <c r="O300" s="158"/>
      <c r="P300" s="156">
        <f>SQRT(($K$301-$K$299)^2 +($L$301-$L$299)^2)</f>
        <v>18.441548070863572</v>
      </c>
      <c r="AE300" s="148"/>
      <c r="AF300" s="148"/>
      <c r="AG300" s="148"/>
      <c r="AH300" s="148"/>
      <c r="AI300" s="148"/>
      <c r="AJ300" s="148"/>
      <c r="AK300" s="148"/>
    </row>
    <row r="301" spans="1:38" x14ac:dyDescent="0.2">
      <c r="A301" s="142" t="s">
        <v>500</v>
      </c>
      <c r="B301" s="143">
        <f>_xlfn.IFNA(INDEX(Table_INPUT_2D[X],MATCH(Table8[[#This Row],[UID]],Table_INPUT_2D[Unique ID],0)),"")</f>
        <v>11378.505999999999</v>
      </c>
      <c r="C301" s="145">
        <f>_xlfn.IFNA(INDEX(Table_INPUT_2D[Y],MATCH(Table8[[#This Row],[UID]],Table_INPUT_2D[Unique ID],0)),"")</f>
        <v>4484.5789999999997</v>
      </c>
      <c r="D301" s="144">
        <f>_xlfn.IFNA(INDEX(Table_INPUT_2D[Z],MATCH(Table8[[#This Row],[UID]],Table_INPUT_2D[Unique ID],0)),"")</f>
        <v>262.54899999999998</v>
      </c>
      <c r="E301" s="146" t="s">
        <v>503</v>
      </c>
      <c r="G301" s="4" t="str">
        <f>IF($A$313 &lt;&gt; "",$A$313, "")</f>
        <v>MR9090</v>
      </c>
      <c r="H301" s="4">
        <f>IF($B$313 &lt;&gt; "",$B$313, "")</f>
        <v>11473.790999999999</v>
      </c>
      <c r="I301" s="4">
        <f>IF($C$313 &lt;&gt; "",$C$313, "")</f>
        <v>4457.99</v>
      </c>
      <c r="J301" s="4">
        <f>IF($D$313 &lt;&gt; "",$D$313, "")</f>
        <v>247.21</v>
      </c>
      <c r="K301" s="156">
        <f>AVERAGE($H$301,$H$302)</f>
        <v>11473.790999999999</v>
      </c>
      <c r="L301" s="156">
        <f>AVERAGE($I$301,$I$302)</f>
        <v>4457.99</v>
      </c>
      <c r="M301" s="156">
        <f>AVERAGE($J$301,$J$302)</f>
        <v>247.21</v>
      </c>
      <c r="N301" s="156"/>
      <c r="O301" s="158">
        <f>$O$299+($N$300)</f>
        <v>166.07068801652898</v>
      </c>
      <c r="P301" s="156"/>
      <c r="AE301" s="148"/>
      <c r="AF301" s="148"/>
      <c r="AG301" s="148"/>
      <c r="AH301" s="148"/>
      <c r="AI301" s="148"/>
      <c r="AJ301" s="148"/>
      <c r="AK301" s="148"/>
      <c r="AL301" s="148"/>
    </row>
    <row r="302" spans="1:38" x14ac:dyDescent="0.2">
      <c r="A302" s="142" t="s">
        <v>22</v>
      </c>
      <c r="B302" s="143" t="str">
        <f>_xlfn.IFNA(INDEX(Table_INPUT_2D[X],MATCH(Table8[[#This Row],[UID]],Table_INPUT_2D[Unique ID],0)),"")</f>
        <v/>
      </c>
      <c r="C302" s="145" t="str">
        <f>_xlfn.IFNA(INDEX(Table_INPUT_2D[Y],MATCH(Table8[[#This Row],[UID]],Table_INPUT_2D[Unique ID],0)),"")</f>
        <v/>
      </c>
      <c r="D302" s="144" t="str">
        <f>_xlfn.IFNA(INDEX(Table_INPUT_2D[Z],MATCH(Table8[[#This Row],[UID]],Table_INPUT_2D[Unique ID],0)),"")</f>
        <v/>
      </c>
      <c r="E302" s="146"/>
      <c r="G302" s="4" t="str">
        <f>IF($A$314 &lt;&gt; "",$A$314, "")</f>
        <v>MR9090</v>
      </c>
      <c r="H302" s="4">
        <f>IF($B$314 &lt;&gt; "",$B$314, "")</f>
        <v>11473.790999999999</v>
      </c>
      <c r="I302" s="4">
        <f>IF($C$314 &lt;&gt; "",$C$314, "")</f>
        <v>4457.99</v>
      </c>
      <c r="J302" s="4">
        <f>IF($D$314 &lt;&gt; "",$D$314, "")</f>
        <v>247.21</v>
      </c>
      <c r="K302" s="156"/>
      <c r="L302" s="156"/>
      <c r="M302" s="156"/>
      <c r="N302" s="156">
        <f>$M$303-$M$301</f>
        <v>-1.9124999999999943</v>
      </c>
      <c r="O302" s="158"/>
      <c r="P302" s="156">
        <f>SQRT(($K$303-$K$301)^2 +($L$303-$L$301)^2)</f>
        <v>21.518968214113421</v>
      </c>
      <c r="AE302" s="148"/>
      <c r="AF302" s="148"/>
      <c r="AG302" s="148"/>
      <c r="AH302" s="148"/>
      <c r="AI302" s="148"/>
      <c r="AJ302" s="148"/>
      <c r="AK302" s="148"/>
      <c r="AL302" s="148"/>
    </row>
    <row r="303" spans="1:38" x14ac:dyDescent="0.2">
      <c r="A303" s="142" t="s">
        <v>500</v>
      </c>
      <c r="B303" s="143">
        <f>_xlfn.IFNA(INDEX(Table_INPUT_2D[X],MATCH(Table8[[#This Row],[UID]],Table_INPUT_2D[Unique ID],0)),"")</f>
        <v>11378.504000000001</v>
      </c>
      <c r="C303" s="145">
        <f>_xlfn.IFNA(INDEX(Table_INPUT_2D[Y],MATCH(Table8[[#This Row],[UID]],Table_INPUT_2D[Unique ID],0)),"")</f>
        <v>4484.576</v>
      </c>
      <c r="D303" s="144">
        <f>_xlfn.IFNA(INDEX(Table_INPUT_2D[Z],MATCH(Table8[[#This Row],[UID]],Table_INPUT_2D[Unique ID],0)),"")</f>
        <v>262.54700000000003</v>
      </c>
      <c r="E303" s="146" t="s">
        <v>520</v>
      </c>
      <c r="G303" s="4" t="str">
        <f>IF($A$315 &lt;&gt; "",$A$315, "")</f>
        <v>MR9091</v>
      </c>
      <c r="H303" s="4">
        <f>IF($B$315 &lt;&gt; "",$B$315, "")</f>
        <v>11494.044</v>
      </c>
      <c r="I303" s="4">
        <f>IF($C$315 &lt;&gt; "",$C$315, "")</f>
        <v>4450.7179999999998</v>
      </c>
      <c r="J303" s="4">
        <f>IF($D$315 &lt;&gt; "",$D$315, "")</f>
        <v>245.298</v>
      </c>
      <c r="K303" s="156">
        <f>AVERAGE($H$303,$H$304)</f>
        <v>11494.044</v>
      </c>
      <c r="L303" s="156">
        <f>AVERAGE($I$303,$I$304)</f>
        <v>4450.7179999999998</v>
      </c>
      <c r="M303" s="156">
        <f>AVERAGE($J$303,$J$304)</f>
        <v>245.29750000000001</v>
      </c>
      <c r="N303" s="156"/>
      <c r="O303" s="158">
        <f>$O$301+($N$302)</f>
        <v>164.15818801652898</v>
      </c>
      <c r="P303" s="156"/>
      <c r="AE303" s="148"/>
      <c r="AF303" s="148"/>
      <c r="AG303" s="148"/>
      <c r="AH303" s="148"/>
      <c r="AI303" s="148"/>
      <c r="AJ303" s="148"/>
      <c r="AK303" s="148"/>
      <c r="AL303" s="148"/>
    </row>
    <row r="304" spans="1:38" x14ac:dyDescent="0.2">
      <c r="A304" s="142" t="s">
        <v>500</v>
      </c>
      <c r="B304" s="143">
        <f>_xlfn.IFNA(INDEX(Table_INPUT_2D[X],MATCH(Table8[[#This Row],[UID]],Table_INPUT_2D[Unique ID],0)),"")</f>
        <v>11378.503000000001</v>
      </c>
      <c r="C304" s="145">
        <f>_xlfn.IFNA(INDEX(Table_INPUT_2D[Y],MATCH(Table8[[#This Row],[UID]],Table_INPUT_2D[Unique ID],0)),"")</f>
        <v>4484.5730000000003</v>
      </c>
      <c r="D304" s="144">
        <f>_xlfn.IFNA(INDEX(Table_INPUT_2D[Z],MATCH(Table8[[#This Row],[UID]],Table_INPUT_2D[Unique ID],0)),"")</f>
        <v>262.54899999999998</v>
      </c>
      <c r="E304" s="146" t="s">
        <v>521</v>
      </c>
      <c r="G304" s="4" t="str">
        <f>IF($A$316 &lt;&gt; "",$A$316, "")</f>
        <v>MR9091</v>
      </c>
      <c r="H304" s="4">
        <f>IF($B$316 &lt;&gt; "",$B$316, "")</f>
        <v>11494.044</v>
      </c>
      <c r="I304" s="4">
        <f>IF($C$316 &lt;&gt; "",$C$316, "")</f>
        <v>4450.7179999999998</v>
      </c>
      <c r="J304" s="4">
        <f>IF($D$316 &lt;&gt; "",$D$316, "")</f>
        <v>245.297</v>
      </c>
      <c r="K304" s="156"/>
      <c r="L304" s="156"/>
      <c r="M304" s="156"/>
      <c r="N304" s="156">
        <f>$M$305-$M$303</f>
        <v>-1.7905000000000086</v>
      </c>
      <c r="O304" s="158"/>
      <c r="P304" s="156">
        <f>SQRT(($K$305-$K$303)^2 +($L$305-$L$303)^2)</f>
        <v>19.465151714024852</v>
      </c>
      <c r="AE304" s="148"/>
      <c r="AF304" s="148"/>
      <c r="AG304" s="148"/>
      <c r="AH304" s="148"/>
      <c r="AI304" s="148"/>
      <c r="AJ304" s="148"/>
      <c r="AK304" s="148"/>
      <c r="AL304" s="148"/>
    </row>
    <row r="305" spans="1:38" x14ac:dyDescent="0.2">
      <c r="A305" s="142" t="s">
        <v>508</v>
      </c>
      <c r="B305" s="143">
        <f>_xlfn.IFNA(INDEX(Table_INPUT_2D[X],MATCH(Table8[[#This Row],[UID]],Table_INPUT_2D[Unique ID],0)),"")</f>
        <v>11398.326999999999</v>
      </c>
      <c r="C305" s="145">
        <f>_xlfn.IFNA(INDEX(Table_INPUT_2D[Y],MATCH(Table8[[#This Row],[UID]],Table_INPUT_2D[Unique ID],0)),"")</f>
        <v>4480.973</v>
      </c>
      <c r="D305" s="144">
        <f>_xlfn.IFNA(INDEX(Table_INPUT_2D[Z],MATCH(Table8[[#This Row],[UID]],Table_INPUT_2D[Unique ID],0)),"")</f>
        <v>257.822</v>
      </c>
      <c r="E305" s="146" t="s">
        <v>524</v>
      </c>
      <c r="G305" s="4" t="str">
        <f>IF($A$317 &lt;&gt; "",$A$317, "")</f>
        <v>MR9092</v>
      </c>
      <c r="H305" s="4">
        <f>IF($B$317 &lt;&gt; "",$B$317, "")</f>
        <v>11512.41</v>
      </c>
      <c r="I305" s="4">
        <f>IF($C$317 &lt;&gt; "",$C$317, "")</f>
        <v>4444.2709999999997</v>
      </c>
      <c r="J305" s="4">
        <f>IF($D$317 &lt;&gt; "",$D$317, "")</f>
        <v>243.506</v>
      </c>
      <c r="K305" s="156">
        <f>AVERAGE($H$305,$H$306)</f>
        <v>11512.4105</v>
      </c>
      <c r="L305" s="156">
        <f>AVERAGE($I$305,$I$306)</f>
        <v>4444.2709999999997</v>
      </c>
      <c r="M305" s="156">
        <f>AVERAGE($J$305,$J$306)</f>
        <v>243.50700000000001</v>
      </c>
      <c r="N305" s="156"/>
      <c r="O305" s="158">
        <f>$O$303+($N$304)</f>
        <v>162.36768801652897</v>
      </c>
      <c r="P305" s="156"/>
      <c r="AE305" s="148"/>
      <c r="AF305" s="148"/>
      <c r="AG305" s="148"/>
      <c r="AH305" s="148"/>
      <c r="AI305" s="148"/>
      <c r="AJ305" s="148"/>
      <c r="AK305" s="148"/>
      <c r="AL305" s="148"/>
    </row>
    <row r="306" spans="1:38" x14ac:dyDescent="0.2">
      <c r="A306" s="142" t="s">
        <v>508</v>
      </c>
      <c r="B306" s="143">
        <f>_xlfn.IFNA(INDEX(Table_INPUT_2D[X],MATCH(Table8[[#This Row],[UID]],Table_INPUT_2D[Unique ID],0)),"")</f>
        <v>11398.326999999999</v>
      </c>
      <c r="C306" s="145">
        <f>_xlfn.IFNA(INDEX(Table_INPUT_2D[Y],MATCH(Table8[[#This Row],[UID]],Table_INPUT_2D[Unique ID],0)),"")</f>
        <v>4480.9719999999998</v>
      </c>
      <c r="D306" s="144">
        <f>_xlfn.IFNA(INDEX(Table_INPUT_2D[Z],MATCH(Table8[[#This Row],[UID]],Table_INPUT_2D[Unique ID],0)),"")</f>
        <v>257.82400000000001</v>
      </c>
      <c r="E306" s="146" t="s">
        <v>525</v>
      </c>
      <c r="G306" s="4" t="str">
        <f>IF($A$318 &lt;&gt; "",$A$318, "")</f>
        <v>MR9092</v>
      </c>
      <c r="H306" s="4">
        <f>IF($B$318 &lt;&gt; "",$B$318, "")</f>
        <v>11512.411</v>
      </c>
      <c r="I306" s="4">
        <f>IF($C$318 &lt;&gt; "",$C$318, "")</f>
        <v>4444.2709999999997</v>
      </c>
      <c r="J306" s="4">
        <f>IF($D$318 &lt;&gt; "",$D$318, "")</f>
        <v>243.50800000000001</v>
      </c>
      <c r="K306" s="156"/>
      <c r="L306" s="156"/>
      <c r="M306" s="156"/>
      <c r="N306" s="156">
        <f>$M$307-$M$305</f>
        <v>-1.5405000000000086</v>
      </c>
      <c r="O306" s="158"/>
      <c r="P306" s="156">
        <f>SQRT(($K$307-$K$305)^2 +($L$307-$L$305)^2)</f>
        <v>18.937555313449863</v>
      </c>
      <c r="AE306" s="148"/>
      <c r="AF306" s="148"/>
      <c r="AG306" s="148"/>
      <c r="AH306" s="148"/>
      <c r="AI306" s="148"/>
      <c r="AJ306" s="148"/>
      <c r="AK306" s="148"/>
      <c r="AL306" s="148"/>
    </row>
    <row r="307" spans="1:38" x14ac:dyDescent="0.2">
      <c r="A307" s="142" t="s">
        <v>514</v>
      </c>
      <c r="B307" s="143">
        <f>_xlfn.IFNA(INDEX(Table_INPUT_2D[X],MATCH(Table8[[#This Row],[UID]],Table_INPUT_2D[Unique ID],0)),"")</f>
        <v>11416.737999999999</v>
      </c>
      <c r="C307" s="145">
        <f>_xlfn.IFNA(INDEX(Table_INPUT_2D[Y],MATCH(Table8[[#This Row],[UID]],Table_INPUT_2D[Unique ID],0)),"")</f>
        <v>4477.6790000000001</v>
      </c>
      <c r="D307" s="144">
        <f>_xlfn.IFNA(INDEX(Table_INPUT_2D[Z],MATCH(Table8[[#This Row],[UID]],Table_INPUT_2D[Unique ID],0)),"")</f>
        <v>255.06299999999999</v>
      </c>
      <c r="E307" s="146" t="s">
        <v>526</v>
      </c>
      <c r="G307" s="4" t="str">
        <f>IF($A$319 &lt;&gt; "",$A$319, "")</f>
        <v>MR9093</v>
      </c>
      <c r="H307" s="4">
        <f>IF($B$319 &lt;&gt; "",$B$319, "")</f>
        <v>11530.273999999999</v>
      </c>
      <c r="I307" s="4">
        <f>IF($C$319 &lt;&gt; "",$C$319, "")</f>
        <v>4437.9840000000004</v>
      </c>
      <c r="J307" s="4">
        <f>IF($D$319 &lt;&gt; "",$D$319, "")</f>
        <v>241.96700000000001</v>
      </c>
      <c r="K307" s="156">
        <f>AVERAGE($H$307,$H$308)</f>
        <v>11530.273999999999</v>
      </c>
      <c r="L307" s="156">
        <f>AVERAGE($I$307,$I$308)</f>
        <v>4437.9840000000004</v>
      </c>
      <c r="M307" s="156">
        <f>AVERAGE($J$307,$J$308)</f>
        <v>241.9665</v>
      </c>
      <c r="N307" s="156"/>
      <c r="O307" s="158">
        <f>$O$305+($N$306)</f>
        <v>160.82718801652896</v>
      </c>
      <c r="P307" s="156"/>
      <c r="AE307" s="148"/>
      <c r="AF307" s="148"/>
      <c r="AG307" s="148"/>
      <c r="AH307" s="148"/>
      <c r="AI307" s="148"/>
      <c r="AJ307" s="148"/>
      <c r="AK307" s="148"/>
      <c r="AL307" s="148"/>
    </row>
    <row r="308" spans="1:38" x14ac:dyDescent="0.2">
      <c r="A308" s="142" t="s">
        <v>514</v>
      </c>
      <c r="B308" s="143">
        <f>_xlfn.IFNA(INDEX(Table_INPUT_2D[X],MATCH(Table8[[#This Row],[UID]],Table_INPUT_2D[Unique ID],0)),"")</f>
        <v>11416.737999999999</v>
      </c>
      <c r="C308" s="145">
        <f>_xlfn.IFNA(INDEX(Table_INPUT_2D[Y],MATCH(Table8[[#This Row],[UID]],Table_INPUT_2D[Unique ID],0)),"")</f>
        <v>4477.6790000000001</v>
      </c>
      <c r="D308" s="144">
        <f>_xlfn.IFNA(INDEX(Table_INPUT_2D[Z],MATCH(Table8[[#This Row],[UID]],Table_INPUT_2D[Unique ID],0)),"")</f>
        <v>255.06200000000001</v>
      </c>
      <c r="E308" s="146" t="s">
        <v>527</v>
      </c>
      <c r="G308" s="4" t="str">
        <f>IF($A$320 &lt;&gt; "",$A$320, "")</f>
        <v>MR9093</v>
      </c>
      <c r="H308" s="4">
        <f>IF($B$320 &lt;&gt; "",$B$320, "")</f>
        <v>11530.273999999999</v>
      </c>
      <c r="I308" s="4">
        <f>IF($C$320 &lt;&gt; "",$C$320, "")</f>
        <v>4437.9840000000004</v>
      </c>
      <c r="J308" s="4">
        <f>IF($D$320 &lt;&gt; "",$D$320, "")</f>
        <v>241.96600000000001</v>
      </c>
      <c r="K308" s="156"/>
      <c r="L308" s="156"/>
      <c r="M308" s="156"/>
      <c r="N308" s="156"/>
      <c r="O308" s="158"/>
      <c r="P308" s="156"/>
      <c r="AE308" s="148"/>
      <c r="AF308" s="148"/>
      <c r="AG308" s="148"/>
      <c r="AH308" s="148"/>
      <c r="AI308" s="148"/>
      <c r="AJ308" s="148"/>
      <c r="AK308" s="148"/>
      <c r="AL308" s="148"/>
    </row>
    <row r="309" spans="1:38" x14ac:dyDescent="0.2">
      <c r="A309" s="142" t="s">
        <v>529</v>
      </c>
      <c r="B309" s="143">
        <f>_xlfn.IFNA(INDEX(Table_INPUT_2D[X],MATCH(Table8[[#This Row],[UID]],Table_INPUT_2D[Unique ID],0)),"")</f>
        <v>11436.298000000001</v>
      </c>
      <c r="C309" s="145">
        <f>_xlfn.IFNA(INDEX(Table_INPUT_2D[Y],MATCH(Table8[[#This Row],[UID]],Table_INPUT_2D[Unique ID],0)),"")</f>
        <v>4471.3649999999998</v>
      </c>
      <c r="D309" s="144">
        <f>_xlfn.IFNA(INDEX(Table_INPUT_2D[Z],MATCH(Table8[[#This Row],[UID]],Table_INPUT_2D[Unique ID],0)),"")</f>
        <v>252.21100000000001</v>
      </c>
      <c r="E309" s="146" t="s">
        <v>528</v>
      </c>
      <c r="G309" s="4" t="str">
        <f>IF($A$321 &lt;&gt; "",$A$321, "")</f>
        <v>CLOSE</v>
      </c>
      <c r="H309" s="4" t="str">
        <f>IF($B$321 &lt;&gt; "",$B$321, "")</f>
        <v/>
      </c>
      <c r="I309" s="4" t="str">
        <f>IF($C$321 &lt;&gt; "",$C$321, "")</f>
        <v/>
      </c>
      <c r="J309" s="4" t="str">
        <f>IF($D$321 &lt;&gt; "",$D$321, "")</f>
        <v/>
      </c>
      <c r="K309" s="156"/>
      <c r="L309" s="156"/>
      <c r="M309" s="156"/>
      <c r="N309" s="156"/>
      <c r="O309" s="158"/>
      <c r="P309" s="156"/>
    </row>
    <row r="310" spans="1:38" x14ac:dyDescent="0.2">
      <c r="A310" s="142" t="s">
        <v>529</v>
      </c>
      <c r="B310" s="143">
        <f>_xlfn.IFNA(INDEX(Table_INPUT_2D[X],MATCH(Table8[[#This Row],[UID]],Table_INPUT_2D[Unique ID],0)),"")</f>
        <v>11436.298000000001</v>
      </c>
      <c r="C310" s="145">
        <f>_xlfn.IFNA(INDEX(Table_INPUT_2D[Y],MATCH(Table8[[#This Row],[UID]],Table_INPUT_2D[Unique ID],0)),"")</f>
        <v>4471.3639999999996</v>
      </c>
      <c r="D310" s="144">
        <f>_xlfn.IFNA(INDEX(Table_INPUT_2D[Z],MATCH(Table8[[#This Row],[UID]],Table_INPUT_2D[Unique ID],0)),"")</f>
        <v>252.21100000000001</v>
      </c>
      <c r="E310" s="146" t="s">
        <v>530</v>
      </c>
      <c r="G310" s="4" t="str">
        <f>IF($A$322 &lt;&gt; "",$A$322, "")</f>
        <v>MR9085</v>
      </c>
      <c r="H310" s="4">
        <f>IF($B$322 &lt;&gt; "",$B$322, "")</f>
        <v>11378.503000000001</v>
      </c>
      <c r="I310" s="4">
        <f>IF($C$322 &lt;&gt; "",$C$322, "")</f>
        <v>4484.5739999999996</v>
      </c>
      <c r="J310" s="4">
        <f>IF($D$322 &lt;&gt; "",$D$322, "")</f>
        <v>262.54899999999998</v>
      </c>
      <c r="K310" s="156">
        <f>AVERAGE($H$310,$H$311)</f>
        <v>11378.503000000001</v>
      </c>
      <c r="L310" s="156">
        <f>AVERAGE($I$310,$I$311)</f>
        <v>4484.5749999999998</v>
      </c>
      <c r="M310" s="156">
        <f>AVERAGE($J$310,$J$311)</f>
        <v>262.54750000000001</v>
      </c>
      <c r="N310" s="156"/>
      <c r="O310" s="158">
        <f>$O$312+(-$N$311)</f>
        <v>181.40868801652897</v>
      </c>
      <c r="P310" s="156"/>
    </row>
    <row r="311" spans="1:38" x14ac:dyDescent="0.2">
      <c r="A311" s="142" t="s">
        <v>532</v>
      </c>
      <c r="B311" s="143">
        <f>_xlfn.IFNA(INDEX(Table_INPUT_2D[X],MATCH(Table8[[#This Row],[UID]],Table_INPUT_2D[Unique ID],0)),"")</f>
        <v>11456.393</v>
      </c>
      <c r="C311" s="145">
        <f>_xlfn.IFNA(INDEX(Table_INPUT_2D[Y],MATCH(Table8[[#This Row],[UID]],Table_INPUT_2D[Unique ID],0)),"")</f>
        <v>4464.107</v>
      </c>
      <c r="D311" s="144">
        <f>_xlfn.IFNA(INDEX(Table_INPUT_2D[Z],MATCH(Table8[[#This Row],[UID]],Table_INPUT_2D[Unique ID],0)),"")</f>
        <v>249.36</v>
      </c>
      <c r="E311" s="146" t="s">
        <v>531</v>
      </c>
      <c r="G311" s="4" t="str">
        <f>IF($A$323 &lt;&gt; "",$A$323, "")</f>
        <v>MR9085</v>
      </c>
      <c r="H311" s="4">
        <f>IF($B$323 &lt;&gt; "",$B$323, "")</f>
        <v>11378.503000000001</v>
      </c>
      <c r="I311" s="4">
        <f>IF($C$323 &lt;&gt; "",$C$323, "")</f>
        <v>4484.576</v>
      </c>
      <c r="J311" s="4">
        <f>IF($D$323 &lt;&gt; "",$D$323, "")</f>
        <v>262.54599999999999</v>
      </c>
      <c r="K311" s="156"/>
      <c r="L311" s="156"/>
      <c r="M311" s="156"/>
      <c r="N311" s="156">
        <f>$M$312-$M$310</f>
        <v>-20.581500000000005</v>
      </c>
      <c r="O311" s="158"/>
      <c r="P311" s="156">
        <f>SQRT(($K$312-$K$310)^2 +($L$312-$L$310)^2)</f>
        <v>158.7611386147428</v>
      </c>
    </row>
    <row r="312" spans="1:38" x14ac:dyDescent="0.2">
      <c r="A312" s="142" t="s">
        <v>532</v>
      </c>
      <c r="B312" s="143">
        <f>_xlfn.IFNA(INDEX(Table_INPUT_2D[X],MATCH(Table8[[#This Row],[UID]],Table_INPUT_2D[Unique ID],0)),"")</f>
        <v>11456.394</v>
      </c>
      <c r="C312" s="145">
        <f>_xlfn.IFNA(INDEX(Table_INPUT_2D[Y],MATCH(Table8[[#This Row],[UID]],Table_INPUT_2D[Unique ID],0)),"")</f>
        <v>4464.107</v>
      </c>
      <c r="D312" s="144">
        <f>_xlfn.IFNA(INDEX(Table_INPUT_2D[Z],MATCH(Table8[[#This Row],[UID]],Table_INPUT_2D[Unique ID],0)),"")</f>
        <v>249.36</v>
      </c>
      <c r="E312" s="146" t="s">
        <v>533</v>
      </c>
      <c r="G312" s="4" t="str">
        <f>IF($A$324 &lt;&gt; "",$A$324, "")</f>
        <v>MR9093</v>
      </c>
      <c r="H312" s="4">
        <f>IF($B$324 &lt;&gt; "",$B$324, "")</f>
        <v>11530.272999999999</v>
      </c>
      <c r="I312" s="4">
        <f>IF($C$324 &lt;&gt; "",$C$324, "")</f>
        <v>4437.982</v>
      </c>
      <c r="J312" s="4">
        <f>IF($D$324 &lt;&gt; "",$D$324, "")</f>
        <v>241.965</v>
      </c>
      <c r="K312" s="156">
        <f>AVERAGE($H$312,$H$313)</f>
        <v>11530.273499999999</v>
      </c>
      <c r="L312" s="156">
        <f>AVERAGE($I$312,$I$313)</f>
        <v>4437.9830000000002</v>
      </c>
      <c r="M312" s="156">
        <f>AVERAGE($J$312,$J$313)</f>
        <v>241.96600000000001</v>
      </c>
      <c r="N312" s="156"/>
      <c r="O312" s="158">
        <f>$O$307</f>
        <v>160.82718801652896</v>
      </c>
      <c r="P312" s="156"/>
    </row>
    <row r="313" spans="1:38" x14ac:dyDescent="0.2">
      <c r="A313" s="142" t="s">
        <v>535</v>
      </c>
      <c r="B313" s="143">
        <f>_xlfn.IFNA(INDEX(Table_INPUT_2D[X],MATCH(Table8[[#This Row],[UID]],Table_INPUT_2D[Unique ID],0)),"")</f>
        <v>11473.790999999999</v>
      </c>
      <c r="C313" s="145">
        <f>_xlfn.IFNA(INDEX(Table_INPUT_2D[Y],MATCH(Table8[[#This Row],[UID]],Table_INPUT_2D[Unique ID],0)),"")</f>
        <v>4457.99</v>
      </c>
      <c r="D313" s="144">
        <f>_xlfn.IFNA(INDEX(Table_INPUT_2D[Z],MATCH(Table8[[#This Row],[UID]],Table_INPUT_2D[Unique ID],0)),"")</f>
        <v>247.21</v>
      </c>
      <c r="E313" s="146" t="s">
        <v>534</v>
      </c>
      <c r="G313" s="4" t="str">
        <f>IF($A$325 &lt;&gt; "",$A$325, "")</f>
        <v>MR9093</v>
      </c>
      <c r="H313" s="4">
        <f>IF($B$325 &lt;&gt; "",$B$325, "")</f>
        <v>11530.273999999999</v>
      </c>
      <c r="I313" s="4">
        <f>IF($C$325 &lt;&gt; "",$C$325, "")</f>
        <v>4437.9840000000004</v>
      </c>
      <c r="J313" s="4">
        <f>IF($D$325 &lt;&gt; "",$D$325, "")</f>
        <v>241.96700000000001</v>
      </c>
      <c r="K313" s="156"/>
      <c r="L313" s="156"/>
      <c r="M313" s="156"/>
      <c r="N313" s="156"/>
      <c r="O313" s="158"/>
      <c r="P313" s="156"/>
    </row>
    <row r="314" spans="1:38" x14ac:dyDescent="0.2">
      <c r="A314" s="142" t="s">
        <v>535</v>
      </c>
      <c r="B314" s="143">
        <f>_xlfn.IFNA(INDEX(Table_INPUT_2D[X],MATCH(Table8[[#This Row],[UID]],Table_INPUT_2D[Unique ID],0)),"")</f>
        <v>11473.790999999999</v>
      </c>
      <c r="C314" s="145">
        <f>_xlfn.IFNA(INDEX(Table_INPUT_2D[Y],MATCH(Table8[[#This Row],[UID]],Table_INPUT_2D[Unique ID],0)),"")</f>
        <v>4457.99</v>
      </c>
      <c r="D314" s="144">
        <f>_xlfn.IFNA(INDEX(Table_INPUT_2D[Z],MATCH(Table8[[#This Row],[UID]],Table_INPUT_2D[Unique ID],0)),"")</f>
        <v>247.21</v>
      </c>
      <c r="E314" s="146" t="s">
        <v>536</v>
      </c>
      <c r="G314" s="4" t="str">
        <f>IF($A$326 &lt;&gt; "",$A$326, "")</f>
        <v>STATION</v>
      </c>
      <c r="H314" s="4"/>
      <c r="I314" s="4"/>
      <c r="J314" s="4"/>
      <c r="K314" s="156"/>
      <c r="L314" s="156"/>
      <c r="M314" s="156"/>
      <c r="N314" s="4"/>
      <c r="O314" s="4"/>
      <c r="P314" s="4"/>
    </row>
    <row r="315" spans="1:38" x14ac:dyDescent="0.2">
      <c r="A315" s="142" t="s">
        <v>538</v>
      </c>
      <c r="B315" s="143">
        <f>_xlfn.IFNA(INDEX(Table_INPUT_2D[X],MATCH(Table8[[#This Row],[UID]],Table_INPUT_2D[Unique ID],0)),"")</f>
        <v>11494.044</v>
      </c>
      <c r="C315" s="145">
        <f>_xlfn.IFNA(INDEX(Table_INPUT_2D[Y],MATCH(Table8[[#This Row],[UID]],Table_INPUT_2D[Unique ID],0)),"")</f>
        <v>4450.7179999999998</v>
      </c>
      <c r="D315" s="144">
        <f>_xlfn.IFNA(INDEX(Table_INPUT_2D[Z],MATCH(Table8[[#This Row],[UID]],Table_INPUT_2D[Unique ID],0)),"")</f>
        <v>245.298</v>
      </c>
      <c r="E315" s="146" t="s">
        <v>537</v>
      </c>
      <c r="G315" s="4" t="str">
        <f>IF($A$327 &lt;&gt; "",$A$327, "")</f>
        <v>MR9093</v>
      </c>
      <c r="H315" s="4">
        <f>IF($B$327 &lt;&gt; "",$B$327, "")</f>
        <v>11530.273999999999</v>
      </c>
      <c r="I315" s="4">
        <f>IF($C$327 &lt;&gt; "",$C$327, "")</f>
        <v>4437.982</v>
      </c>
      <c r="J315" s="4">
        <f>IF($D$327 &lt;&gt; "",$D$327, "")</f>
        <v>241.959</v>
      </c>
      <c r="K315" s="156">
        <f>AVERAGE($H$315,$H$316)</f>
        <v>11530.273999999999</v>
      </c>
      <c r="L315" s="156">
        <f>AVERAGE($I$315,$I$316)</f>
        <v>4437.9825000000001</v>
      </c>
      <c r="M315" s="156">
        <f>AVERAGE($J$315,$J$316)</f>
        <v>241.95749999999998</v>
      </c>
      <c r="N315" s="156"/>
      <c r="O315" s="158">
        <f>$O$307</f>
        <v>160.82718801652896</v>
      </c>
      <c r="P315" s="156"/>
    </row>
    <row r="316" spans="1:38" x14ac:dyDescent="0.2">
      <c r="A316" s="142" t="s">
        <v>538</v>
      </c>
      <c r="B316" s="143">
        <f>_xlfn.IFNA(INDEX(Table_INPUT_2D[X],MATCH(Table8[[#This Row],[UID]],Table_INPUT_2D[Unique ID],0)),"")</f>
        <v>11494.044</v>
      </c>
      <c r="C316" s="145">
        <f>_xlfn.IFNA(INDEX(Table_INPUT_2D[Y],MATCH(Table8[[#This Row],[UID]],Table_INPUT_2D[Unique ID],0)),"")</f>
        <v>4450.7179999999998</v>
      </c>
      <c r="D316" s="144">
        <f>_xlfn.IFNA(INDEX(Table_INPUT_2D[Z],MATCH(Table8[[#This Row],[UID]],Table_INPUT_2D[Unique ID],0)),"")</f>
        <v>245.297</v>
      </c>
      <c r="E316" s="146" t="s">
        <v>539</v>
      </c>
      <c r="G316" s="4" t="str">
        <f>IF($A$328 &lt;&gt; "",$A$328, "")</f>
        <v>MR9093</v>
      </c>
      <c r="H316" s="4">
        <f>IF($B$328 &lt;&gt; "",$B$328, "")</f>
        <v>11530.273999999999</v>
      </c>
      <c r="I316" s="4">
        <f>IF($C$328 &lt;&gt; "",$C$328, "")</f>
        <v>4437.9830000000002</v>
      </c>
      <c r="J316" s="4">
        <f>IF($D$328 &lt;&gt; "",$D$328, "")</f>
        <v>241.95599999999999</v>
      </c>
      <c r="K316" s="156"/>
      <c r="L316" s="156"/>
      <c r="M316" s="156"/>
      <c r="N316" s="156">
        <f>$M$317-$M$315</f>
        <v>-1.1809999999999832</v>
      </c>
      <c r="O316" s="158"/>
      <c r="P316" s="156">
        <f>SQRT(($K$317-$K$315)^2 +($L$317-$L$315)^2)</f>
        <v>18.763434347155425</v>
      </c>
    </row>
    <row r="317" spans="1:38" x14ac:dyDescent="0.2">
      <c r="A317" s="142" t="s">
        <v>541</v>
      </c>
      <c r="B317" s="143">
        <f>_xlfn.IFNA(INDEX(Table_INPUT_2D[X],MATCH(Table8[[#This Row],[UID]],Table_INPUT_2D[Unique ID],0)),"")</f>
        <v>11512.41</v>
      </c>
      <c r="C317" s="145">
        <f>_xlfn.IFNA(INDEX(Table_INPUT_2D[Y],MATCH(Table8[[#This Row],[UID]],Table_INPUT_2D[Unique ID],0)),"")</f>
        <v>4444.2709999999997</v>
      </c>
      <c r="D317" s="144">
        <f>_xlfn.IFNA(INDEX(Table_INPUT_2D[Z],MATCH(Table8[[#This Row],[UID]],Table_INPUT_2D[Unique ID],0)),"")</f>
        <v>243.506</v>
      </c>
      <c r="E317" s="146" t="s">
        <v>540</v>
      </c>
      <c r="G317" s="4" t="str">
        <f>IF($A$329 &lt;&gt; "",$A$329, "")</f>
        <v>MR9094</v>
      </c>
      <c r="H317" s="4">
        <f>IF($B$329 &lt;&gt; "",$B$329, "")</f>
        <v>11547.945</v>
      </c>
      <c r="I317" s="4">
        <f>IF($C$329 &lt;&gt; "",$C$329, "")</f>
        <v>4431.674</v>
      </c>
      <c r="J317" s="4">
        <f>IF($D$329 &lt;&gt; "",$D$329, "")</f>
        <v>240.77600000000001</v>
      </c>
      <c r="K317" s="156">
        <f>AVERAGE($H$317,$H$318)</f>
        <v>11547.9455</v>
      </c>
      <c r="L317" s="156">
        <f>AVERAGE($I$317,$I$318)</f>
        <v>4431.6750000000002</v>
      </c>
      <c r="M317" s="156">
        <f>AVERAGE($J$317,$J$318)</f>
        <v>240.7765</v>
      </c>
      <c r="N317" s="156"/>
      <c r="O317" s="158">
        <f>$O$315+($N$316)</f>
        <v>159.64618801652898</v>
      </c>
      <c r="P317" s="156"/>
    </row>
    <row r="318" spans="1:38" x14ac:dyDescent="0.2">
      <c r="A318" s="142" t="s">
        <v>541</v>
      </c>
      <c r="B318" s="143">
        <f>_xlfn.IFNA(INDEX(Table_INPUT_2D[X],MATCH(Table8[[#This Row],[UID]],Table_INPUT_2D[Unique ID],0)),"")</f>
        <v>11512.411</v>
      </c>
      <c r="C318" s="145">
        <f>_xlfn.IFNA(INDEX(Table_INPUT_2D[Y],MATCH(Table8[[#This Row],[UID]],Table_INPUT_2D[Unique ID],0)),"")</f>
        <v>4444.2709999999997</v>
      </c>
      <c r="D318" s="144">
        <f>_xlfn.IFNA(INDEX(Table_INPUT_2D[Z],MATCH(Table8[[#This Row],[UID]],Table_INPUT_2D[Unique ID],0)),"")</f>
        <v>243.50800000000001</v>
      </c>
      <c r="E318" s="146" t="s">
        <v>542</v>
      </c>
      <c r="G318" s="4" t="str">
        <f>IF($A$330 &lt;&gt; "",$A$330, "")</f>
        <v>MR9094</v>
      </c>
      <c r="H318" s="4">
        <f>IF($B$330 &lt;&gt; "",$B$330, "")</f>
        <v>11547.946</v>
      </c>
      <c r="I318" s="4">
        <f>IF($C$330 &lt;&gt; "",$C$330, "")</f>
        <v>4431.6760000000004</v>
      </c>
      <c r="J318" s="4">
        <f>IF($D$330 &lt;&gt; "",$D$330, "")</f>
        <v>240.77699999999999</v>
      </c>
      <c r="K318" s="156"/>
      <c r="L318" s="156"/>
      <c r="M318" s="156"/>
      <c r="N318" s="156">
        <f>$M$319-$M$317</f>
        <v>-1.2680000000000007</v>
      </c>
      <c r="O318" s="158"/>
      <c r="P318" s="156">
        <f>SQRT(($K$319-$K$317)^2 +($L$319-$L$317)^2)</f>
        <v>18.841807748992224</v>
      </c>
    </row>
    <row r="319" spans="1:38" x14ac:dyDescent="0.2">
      <c r="A319" s="142" t="s">
        <v>544</v>
      </c>
      <c r="B319" s="143">
        <f>_xlfn.IFNA(INDEX(Table_INPUT_2D[X],MATCH(Table8[[#This Row],[UID]],Table_INPUT_2D[Unique ID],0)),"")</f>
        <v>11530.273999999999</v>
      </c>
      <c r="C319" s="145">
        <f>_xlfn.IFNA(INDEX(Table_INPUT_2D[Y],MATCH(Table8[[#This Row],[UID]],Table_INPUT_2D[Unique ID],0)),"")</f>
        <v>4437.9840000000004</v>
      </c>
      <c r="D319" s="144">
        <f>_xlfn.IFNA(INDEX(Table_INPUT_2D[Z],MATCH(Table8[[#This Row],[UID]],Table_INPUT_2D[Unique ID],0)),"")</f>
        <v>241.96700000000001</v>
      </c>
      <c r="E319" s="146" t="s">
        <v>543</v>
      </c>
      <c r="G319" s="4" t="str">
        <f>IF($A$331 &lt;&gt; "",$A$331, "")</f>
        <v>MR9095</v>
      </c>
      <c r="H319" s="4">
        <f>IF($B$331 &lt;&gt; "",$B$331, "")</f>
        <v>11565.710999999999</v>
      </c>
      <c r="I319" s="4">
        <f>IF($C$331 &lt;&gt; "",$C$331, "")</f>
        <v>4425.3980000000001</v>
      </c>
      <c r="J319" s="4">
        <f>IF($D$331 &lt;&gt; "",$D$331, "")</f>
        <v>239.50700000000001</v>
      </c>
      <c r="K319" s="156">
        <f>AVERAGE($H$319,$H$320)</f>
        <v>11565.710999999999</v>
      </c>
      <c r="L319" s="156">
        <f>AVERAGE($I$319,$I$320)</f>
        <v>4425.3980000000001</v>
      </c>
      <c r="M319" s="156">
        <f>AVERAGE($J$319,$J$320)</f>
        <v>239.5085</v>
      </c>
      <c r="N319" s="156"/>
      <c r="O319" s="158">
        <f>$O$317+($N$318)</f>
        <v>158.37818801652898</v>
      </c>
      <c r="P319" s="156"/>
    </row>
    <row r="320" spans="1:38" x14ac:dyDescent="0.2">
      <c r="A320" s="142" t="s">
        <v>544</v>
      </c>
      <c r="B320" s="143">
        <f>_xlfn.IFNA(INDEX(Table_INPUT_2D[X],MATCH(Table8[[#This Row],[UID]],Table_INPUT_2D[Unique ID],0)),"")</f>
        <v>11530.273999999999</v>
      </c>
      <c r="C320" s="145">
        <f>_xlfn.IFNA(INDEX(Table_INPUT_2D[Y],MATCH(Table8[[#This Row],[UID]],Table_INPUT_2D[Unique ID],0)),"")</f>
        <v>4437.9840000000004</v>
      </c>
      <c r="D320" s="144">
        <f>_xlfn.IFNA(INDEX(Table_INPUT_2D[Z],MATCH(Table8[[#This Row],[UID]],Table_INPUT_2D[Unique ID],0)),"")</f>
        <v>241.96600000000001</v>
      </c>
      <c r="E320" s="146" t="s">
        <v>545</v>
      </c>
      <c r="G320" s="4" t="str">
        <f>IF($A$332 &lt;&gt; "",$A$332, "")</f>
        <v>MR9095</v>
      </c>
      <c r="H320" s="4">
        <f>IF($B$332 &lt;&gt; "",$B$332, "")</f>
        <v>11565.710999999999</v>
      </c>
      <c r="I320" s="4">
        <f>IF($C$332 &lt;&gt; "",$C$332, "")</f>
        <v>4425.3980000000001</v>
      </c>
      <c r="J320" s="4">
        <f>IF($D$332 &lt;&gt; "",$D$332, "")</f>
        <v>239.51</v>
      </c>
      <c r="K320" s="156"/>
      <c r="L320" s="156"/>
      <c r="M320" s="156"/>
      <c r="N320" s="156">
        <f>$M$321-$M$319</f>
        <v>-1.4330000000000211</v>
      </c>
      <c r="O320" s="158"/>
      <c r="P320" s="156">
        <f>SQRT(($K$321-$K$319)^2 +($L$321-$L$319)^2)</f>
        <v>21.663136245706557</v>
      </c>
    </row>
    <row r="321" spans="1:16" x14ac:dyDescent="0.2">
      <c r="A321" s="142" t="s">
        <v>21</v>
      </c>
      <c r="B321" s="143" t="str">
        <f>_xlfn.IFNA(INDEX(Table_INPUT_2D[X],MATCH(Table8[[#This Row],[UID]],Table_INPUT_2D[Unique ID],0)),"")</f>
        <v/>
      </c>
      <c r="C321" s="145" t="str">
        <f>_xlfn.IFNA(INDEX(Table_INPUT_2D[Y],MATCH(Table8[[#This Row],[UID]],Table_INPUT_2D[Unique ID],0)),"")</f>
        <v/>
      </c>
      <c r="D321" s="144" t="str">
        <f>_xlfn.IFNA(INDEX(Table_INPUT_2D[Z],MATCH(Table8[[#This Row],[UID]],Table_INPUT_2D[Unique ID],0)),"")</f>
        <v/>
      </c>
      <c r="E321" s="146"/>
      <c r="G321" s="4" t="str">
        <f>IF($A$333 &lt;&gt; "",$A$333, "")</f>
        <v>MR9096</v>
      </c>
      <c r="H321" s="4">
        <f>IF($B$333 &lt;&gt; "",$B$333, "")</f>
        <v>11586.055</v>
      </c>
      <c r="I321" s="4">
        <f>IF($C$333 &lt;&gt; "",$C$333, "")</f>
        <v>4417.9539999999997</v>
      </c>
      <c r="J321" s="4">
        <f>IF($D$333 &lt;&gt; "",$D$333, "")</f>
        <v>238.07499999999999</v>
      </c>
      <c r="K321" s="156">
        <f>AVERAGE($H$321,$H$322)</f>
        <v>11586.055</v>
      </c>
      <c r="L321" s="156">
        <f>AVERAGE($I$321,$I$322)</f>
        <v>4417.9539999999997</v>
      </c>
      <c r="M321" s="156">
        <f>AVERAGE($J$321,$J$322)</f>
        <v>238.07549999999998</v>
      </c>
      <c r="N321" s="156"/>
      <c r="O321" s="158">
        <f>$O$319+($N$320)</f>
        <v>156.94518801652896</v>
      </c>
      <c r="P321" s="156"/>
    </row>
    <row r="322" spans="1:16" x14ac:dyDescent="0.2">
      <c r="A322" s="142" t="s">
        <v>500</v>
      </c>
      <c r="B322" s="143">
        <f>_xlfn.IFNA(INDEX(Table_INPUT_2D[X],MATCH(Table8[[#This Row],[UID]],Table_INPUT_2D[Unique ID],0)),"")</f>
        <v>11378.503000000001</v>
      </c>
      <c r="C322" s="145">
        <f>_xlfn.IFNA(INDEX(Table_INPUT_2D[Y],MATCH(Table8[[#This Row],[UID]],Table_INPUT_2D[Unique ID],0)),"")</f>
        <v>4484.5739999999996</v>
      </c>
      <c r="D322" s="144">
        <f>_xlfn.IFNA(INDEX(Table_INPUT_2D[Z],MATCH(Table8[[#This Row],[UID]],Table_INPUT_2D[Unique ID],0)),"")</f>
        <v>262.54899999999998</v>
      </c>
      <c r="E322" s="146" t="s">
        <v>522</v>
      </c>
      <c r="G322" s="4" t="str">
        <f>IF($A$334 &lt;&gt; "",$A$334, "")</f>
        <v>MR9096</v>
      </c>
      <c r="H322" s="4">
        <f>IF($B$334 &lt;&gt; "",$B$334, "")</f>
        <v>11586.055</v>
      </c>
      <c r="I322" s="4">
        <f>IF($C$334 &lt;&gt; "",$C$334, "")</f>
        <v>4417.9539999999997</v>
      </c>
      <c r="J322" s="4">
        <f>IF($D$334 &lt;&gt; "",$D$334, "")</f>
        <v>238.07599999999999</v>
      </c>
      <c r="K322" s="156"/>
      <c r="L322" s="156"/>
      <c r="M322" s="156"/>
      <c r="N322" s="156">
        <f>$M$323-$M$321</f>
        <v>-1.0684999999999718</v>
      </c>
      <c r="O322" s="158"/>
      <c r="P322" s="156">
        <f>SQRT(($K$323-$K$321)^2 +($L$323-$L$321)^2)</f>
        <v>18.654991021171991</v>
      </c>
    </row>
    <row r="323" spans="1:16" x14ac:dyDescent="0.2">
      <c r="A323" s="142" t="s">
        <v>500</v>
      </c>
      <c r="B323" s="143">
        <f>_xlfn.IFNA(INDEX(Table_INPUT_2D[X],MATCH(Table8[[#This Row],[UID]],Table_INPUT_2D[Unique ID],0)),"")</f>
        <v>11378.503000000001</v>
      </c>
      <c r="C323" s="145">
        <f>_xlfn.IFNA(INDEX(Table_INPUT_2D[Y],MATCH(Table8[[#This Row],[UID]],Table_INPUT_2D[Unique ID],0)),"")</f>
        <v>4484.576</v>
      </c>
      <c r="D323" s="144">
        <f>_xlfn.IFNA(INDEX(Table_INPUT_2D[Z],MATCH(Table8[[#This Row],[UID]],Table_INPUT_2D[Unique ID],0)),"")</f>
        <v>262.54599999999999</v>
      </c>
      <c r="E323" s="146" t="s">
        <v>523</v>
      </c>
      <c r="G323" s="4" t="str">
        <f>IF($A$335 &lt;&gt; "",$A$335, "")</f>
        <v>MR9097</v>
      </c>
      <c r="H323" s="4">
        <f>IF($B$335 &lt;&gt; "",$B$335, "")</f>
        <v>11603.592000000001</v>
      </c>
      <c r="I323" s="4">
        <f>IF($C$335 &lt;&gt; "",$C$335, "")</f>
        <v>4411.5929999999998</v>
      </c>
      <c r="J323" s="4">
        <f>IF($D$335 &lt;&gt; "",$D$335, "")</f>
        <v>237.00800000000001</v>
      </c>
      <c r="K323" s="156">
        <f>AVERAGE($H$323,$H$324)</f>
        <v>11603.592000000001</v>
      </c>
      <c r="L323" s="156">
        <f>AVERAGE($I$323,$I$324)</f>
        <v>4411.5929999999998</v>
      </c>
      <c r="M323" s="156">
        <f>AVERAGE($J$323,$J$324)</f>
        <v>237.00700000000001</v>
      </c>
      <c r="N323" s="156"/>
      <c r="O323" s="158">
        <f>$O$321+($N$322)</f>
        <v>155.87668801652899</v>
      </c>
      <c r="P323" s="156"/>
    </row>
    <row r="324" spans="1:16" x14ac:dyDescent="0.2">
      <c r="A324" s="142" t="s">
        <v>544</v>
      </c>
      <c r="B324" s="143">
        <f>_xlfn.IFNA(INDEX(Table_INPUT_2D[X],MATCH(Table8[[#This Row],[UID]],Table_INPUT_2D[Unique ID],0)),"")</f>
        <v>11530.272999999999</v>
      </c>
      <c r="C324" s="145">
        <f>_xlfn.IFNA(INDEX(Table_INPUT_2D[Y],MATCH(Table8[[#This Row],[UID]],Table_INPUT_2D[Unique ID],0)),"")</f>
        <v>4437.982</v>
      </c>
      <c r="D324" s="144">
        <f>_xlfn.IFNA(INDEX(Table_INPUT_2D[Z],MATCH(Table8[[#This Row],[UID]],Table_INPUT_2D[Unique ID],0)),"")</f>
        <v>241.965</v>
      </c>
      <c r="E324" s="146" t="s">
        <v>546</v>
      </c>
      <c r="G324" s="4" t="str">
        <f>IF($A$336 &lt;&gt; "",$A$336, "")</f>
        <v>MR9097</v>
      </c>
      <c r="H324" s="4">
        <f>IF($B$336 &lt;&gt; "",$B$336, "")</f>
        <v>11603.592000000001</v>
      </c>
      <c r="I324" s="4">
        <f>IF($C$336 &lt;&gt; "",$C$336, "")</f>
        <v>4411.5929999999998</v>
      </c>
      <c r="J324" s="4">
        <f>IF($D$336 &lt;&gt; "",$D$336, "")</f>
        <v>237.006</v>
      </c>
      <c r="K324" s="156"/>
      <c r="L324" s="156"/>
      <c r="M324" s="156"/>
      <c r="N324" s="156">
        <f>$M$325-$M$323</f>
        <v>-1.0380000000000109</v>
      </c>
      <c r="O324" s="158"/>
      <c r="P324" s="156">
        <f>SQRT(($K$325-$K$323)^2 +($L$325-$L$323)^2)</f>
        <v>20.873276371953242</v>
      </c>
    </row>
    <row r="325" spans="1:16" x14ac:dyDescent="0.2">
      <c r="A325" s="142" t="s">
        <v>544</v>
      </c>
      <c r="B325" s="143">
        <f>_xlfn.IFNA(INDEX(Table_INPUT_2D[X],MATCH(Table8[[#This Row],[UID]],Table_INPUT_2D[Unique ID],0)),"")</f>
        <v>11530.273999999999</v>
      </c>
      <c r="C325" s="145">
        <f>_xlfn.IFNA(INDEX(Table_INPUT_2D[Y],MATCH(Table8[[#This Row],[UID]],Table_INPUT_2D[Unique ID],0)),"")</f>
        <v>4437.9840000000004</v>
      </c>
      <c r="D325" s="144">
        <f>_xlfn.IFNA(INDEX(Table_INPUT_2D[Z],MATCH(Table8[[#This Row],[UID]],Table_INPUT_2D[Unique ID],0)),"")</f>
        <v>241.96700000000001</v>
      </c>
      <c r="E325" s="146" t="s">
        <v>547</v>
      </c>
      <c r="G325" s="4" t="str">
        <f>IF($A$337 &lt;&gt; "",$A$337, "")</f>
        <v>MR9098</v>
      </c>
      <c r="H325" s="4">
        <f>IF($B$337 &lt;&gt; "",$B$337, "")</f>
        <v>11623.094999999999</v>
      </c>
      <c r="I325" s="4">
        <f>IF($C$337 &lt;&gt; "",$C$337, "")</f>
        <v>4404.1530000000002</v>
      </c>
      <c r="J325" s="4">
        <f>IF($D$337 &lt;&gt; "",$D$337, "")</f>
        <v>235.96899999999999</v>
      </c>
      <c r="K325" s="156">
        <f>AVERAGE($H$325,$H$326)</f>
        <v>11623.094499999999</v>
      </c>
      <c r="L325" s="156">
        <f>AVERAGE($I$325,$I$326)</f>
        <v>4404.1535000000003</v>
      </c>
      <c r="M325" s="156">
        <f>AVERAGE($J$325,$J$326)</f>
        <v>235.96899999999999</v>
      </c>
      <c r="N325" s="156"/>
      <c r="O325" s="158">
        <f>$O$323+($N$324)</f>
        <v>154.83868801652898</v>
      </c>
      <c r="P325" s="156"/>
    </row>
    <row r="326" spans="1:16" x14ac:dyDescent="0.2">
      <c r="A326" s="142" t="s">
        <v>22</v>
      </c>
      <c r="B326" s="143" t="str">
        <f>_xlfn.IFNA(INDEX(Table_INPUT_2D[X],MATCH(Table8[[#This Row],[UID]],Table_INPUT_2D[Unique ID],0)),"")</f>
        <v/>
      </c>
      <c r="C326" s="145" t="str">
        <f>_xlfn.IFNA(INDEX(Table_INPUT_2D[Y],MATCH(Table8[[#This Row],[UID]],Table_INPUT_2D[Unique ID],0)),"")</f>
        <v/>
      </c>
      <c r="D326" s="144" t="str">
        <f>_xlfn.IFNA(INDEX(Table_INPUT_2D[Z],MATCH(Table8[[#This Row],[UID]],Table_INPUT_2D[Unique ID],0)),"")</f>
        <v/>
      </c>
      <c r="E326" s="146"/>
      <c r="G326" s="4" t="str">
        <f>IF($A$338 &lt;&gt; "",$A$338, "")</f>
        <v>MR9098</v>
      </c>
      <c r="H326" s="4">
        <f>IF($B$338 &lt;&gt; "",$B$338, "")</f>
        <v>11623.093999999999</v>
      </c>
      <c r="I326" s="4">
        <f>IF($C$338 &lt;&gt; "",$C$338, "")</f>
        <v>4404.1540000000005</v>
      </c>
      <c r="J326" s="4">
        <f>IF($D$338 &lt;&gt; "",$D$338, "")</f>
        <v>235.96899999999999</v>
      </c>
      <c r="K326" s="156"/>
      <c r="L326" s="156"/>
      <c r="M326" s="156"/>
      <c r="N326" s="156">
        <f>$M$327-$M$325</f>
        <v>-0.79200000000000159</v>
      </c>
      <c r="O326" s="158"/>
      <c r="P326" s="156">
        <f>SQRT(($K$327-$K$325)^2 +($L$327-$L$325)^2)</f>
        <v>18.471586755068891</v>
      </c>
    </row>
    <row r="327" spans="1:16" x14ac:dyDescent="0.2">
      <c r="A327" s="142" t="s">
        <v>544</v>
      </c>
      <c r="B327" s="143">
        <f>_xlfn.IFNA(INDEX(Table_INPUT_2D[X],MATCH(Table8[[#This Row],[UID]],Table_INPUT_2D[Unique ID],0)),"")</f>
        <v>11530.273999999999</v>
      </c>
      <c r="C327" s="145">
        <f>_xlfn.IFNA(INDEX(Table_INPUT_2D[Y],MATCH(Table8[[#This Row],[UID]],Table_INPUT_2D[Unique ID],0)),"")</f>
        <v>4437.982</v>
      </c>
      <c r="D327" s="144">
        <f>_xlfn.IFNA(INDEX(Table_INPUT_2D[Z],MATCH(Table8[[#This Row],[UID]],Table_INPUT_2D[Unique ID],0)),"")</f>
        <v>241.959</v>
      </c>
      <c r="E327" s="146" t="s">
        <v>549</v>
      </c>
      <c r="G327" s="4" t="str">
        <f>IF($A$339 &lt;&gt; "",$A$339, "")</f>
        <v>MR9099</v>
      </c>
      <c r="H327" s="4">
        <f>IF($B$339 &lt;&gt; "",$B$339, "")</f>
        <v>11640.251</v>
      </c>
      <c r="I327" s="4">
        <f>IF($C$339 &lt;&gt; "",$C$339, "")</f>
        <v>4397.308</v>
      </c>
      <c r="J327" s="4">
        <f>IF($D$339 &lt;&gt; "",$D$339, "")</f>
        <v>235.17699999999999</v>
      </c>
      <c r="K327" s="156">
        <f>AVERAGE($H$327,$H$328)</f>
        <v>11640.251</v>
      </c>
      <c r="L327" s="156">
        <f>AVERAGE($I$327,$I$328)</f>
        <v>4397.3085000000001</v>
      </c>
      <c r="M327" s="156">
        <f>AVERAGE($J$327,$J$328)</f>
        <v>235.17699999999999</v>
      </c>
      <c r="N327" s="156"/>
      <c r="O327" s="158">
        <f>$O$325+($N$326)</f>
        <v>154.04668801652898</v>
      </c>
      <c r="P327" s="156"/>
    </row>
    <row r="328" spans="1:16" x14ac:dyDescent="0.2">
      <c r="A328" s="142" t="s">
        <v>544</v>
      </c>
      <c r="B328" s="143">
        <f>_xlfn.IFNA(INDEX(Table_INPUT_2D[X],MATCH(Table8[[#This Row],[UID]],Table_INPUT_2D[Unique ID],0)),"")</f>
        <v>11530.273999999999</v>
      </c>
      <c r="C328" s="145">
        <f>_xlfn.IFNA(INDEX(Table_INPUT_2D[Y],MATCH(Table8[[#This Row],[UID]],Table_INPUT_2D[Unique ID],0)),"")</f>
        <v>4437.9830000000002</v>
      </c>
      <c r="D328" s="144">
        <f>_xlfn.IFNA(INDEX(Table_INPUT_2D[Z],MATCH(Table8[[#This Row],[UID]],Table_INPUT_2D[Unique ID],0)),"")</f>
        <v>241.95599999999999</v>
      </c>
      <c r="E328" s="146" t="s">
        <v>550</v>
      </c>
      <c r="G328" s="4" t="str">
        <f>IF($A$340 &lt;&gt; "",$A$340, "")</f>
        <v>MR9099</v>
      </c>
      <c r="H328" s="4">
        <f>IF($B$340 &lt;&gt; "",$B$340, "")</f>
        <v>11640.251</v>
      </c>
      <c r="I328" s="4">
        <f>IF($C$340 &lt;&gt; "",$C$340, "")</f>
        <v>4397.3090000000002</v>
      </c>
      <c r="J328" s="4">
        <f>IF($D$340 &lt;&gt; "",$D$340, "")</f>
        <v>235.17699999999999</v>
      </c>
      <c r="K328" s="156"/>
      <c r="L328" s="156"/>
      <c r="M328" s="156"/>
      <c r="N328" s="156">
        <f>$M$329-$M$327</f>
        <v>-0.71099999999998431</v>
      </c>
      <c r="O328" s="158"/>
      <c r="P328" s="156">
        <f>SQRT(($K$329-$K$327)^2 +($L$329-$L$327)^2)</f>
        <v>21.050225800452278</v>
      </c>
    </row>
    <row r="329" spans="1:16" x14ac:dyDescent="0.2">
      <c r="A329" s="142" t="s">
        <v>554</v>
      </c>
      <c r="B329" s="143">
        <f>_xlfn.IFNA(INDEX(Table_INPUT_2D[X],MATCH(Table8[[#This Row],[UID]],Table_INPUT_2D[Unique ID],0)),"")</f>
        <v>11547.945</v>
      </c>
      <c r="C329" s="145">
        <f>_xlfn.IFNA(INDEX(Table_INPUT_2D[Y],MATCH(Table8[[#This Row],[UID]],Table_INPUT_2D[Unique ID],0)),"")</f>
        <v>4431.674</v>
      </c>
      <c r="D329" s="144">
        <f>_xlfn.IFNA(INDEX(Table_INPUT_2D[Z],MATCH(Table8[[#This Row],[UID]],Table_INPUT_2D[Unique ID],0)),"")</f>
        <v>240.77600000000001</v>
      </c>
      <c r="E329" s="146" t="s">
        <v>553</v>
      </c>
      <c r="G329" s="4" t="str">
        <f>IF($A$341 &lt;&gt; "",$A$341, "")</f>
        <v>MR9100</v>
      </c>
      <c r="H329" s="4">
        <f>IF($B$341 &lt;&gt; "",$B$341, "")</f>
        <v>11659.049000000001</v>
      </c>
      <c r="I329" s="4">
        <f>IF($C$341 &lt;&gt; "",$C$341, "")</f>
        <v>4387.835</v>
      </c>
      <c r="J329" s="4">
        <f>IF($D$341 &lt;&gt; "",$D$341, "")</f>
        <v>234.46600000000001</v>
      </c>
      <c r="K329" s="156">
        <f>AVERAGE($H$329,$H$330)</f>
        <v>11659.049000000001</v>
      </c>
      <c r="L329" s="156">
        <f>AVERAGE($I$329,$I$330)</f>
        <v>4387.835</v>
      </c>
      <c r="M329" s="156">
        <f>AVERAGE($J$329,$J$330)</f>
        <v>234.46600000000001</v>
      </c>
      <c r="N329" s="156"/>
      <c r="O329" s="158">
        <f>$O$327+($N$328)</f>
        <v>153.33568801652899</v>
      </c>
      <c r="P329" s="156"/>
    </row>
    <row r="330" spans="1:16" x14ac:dyDescent="0.2">
      <c r="A330" s="142" t="s">
        <v>554</v>
      </c>
      <c r="B330" s="143">
        <f>_xlfn.IFNA(INDEX(Table_INPUT_2D[X],MATCH(Table8[[#This Row],[UID]],Table_INPUT_2D[Unique ID],0)),"")</f>
        <v>11547.946</v>
      </c>
      <c r="C330" s="145">
        <f>_xlfn.IFNA(INDEX(Table_INPUT_2D[Y],MATCH(Table8[[#This Row],[UID]],Table_INPUT_2D[Unique ID],0)),"")</f>
        <v>4431.6760000000004</v>
      </c>
      <c r="D330" s="144">
        <f>_xlfn.IFNA(INDEX(Table_INPUT_2D[Z],MATCH(Table8[[#This Row],[UID]],Table_INPUT_2D[Unique ID],0)),"")</f>
        <v>240.77699999999999</v>
      </c>
      <c r="E330" s="146" t="s">
        <v>555</v>
      </c>
      <c r="G330" s="4" t="str">
        <f>IF($A$342 &lt;&gt; "",$A$342, "")</f>
        <v>MR9100</v>
      </c>
      <c r="H330" s="4">
        <f>IF($B$342 &lt;&gt; "",$B$342, "")</f>
        <v>11659.049000000001</v>
      </c>
      <c r="I330" s="4">
        <f>IF($C$342 &lt;&gt; "",$C$342, "")</f>
        <v>4387.835</v>
      </c>
      <c r="J330" s="4">
        <f>IF($D$342 &lt;&gt; "",$D$342, "")</f>
        <v>234.46600000000001</v>
      </c>
      <c r="K330" s="156"/>
      <c r="L330" s="156"/>
      <c r="M330" s="156"/>
      <c r="N330" s="156">
        <f>$M$331-$M$329</f>
        <v>-0.52800000000002001</v>
      </c>
      <c r="O330" s="158"/>
      <c r="P330" s="156">
        <f>SQRT(($K$331-$K$329)^2 +($L$331-$L$329)^2)</f>
        <v>17.602465487822123</v>
      </c>
    </row>
    <row r="331" spans="1:16" x14ac:dyDescent="0.2">
      <c r="A331" s="142" t="s">
        <v>557</v>
      </c>
      <c r="B331" s="143">
        <f>_xlfn.IFNA(INDEX(Table_INPUT_2D[X],MATCH(Table8[[#This Row],[UID]],Table_INPUT_2D[Unique ID],0)),"")</f>
        <v>11565.710999999999</v>
      </c>
      <c r="C331" s="145">
        <f>_xlfn.IFNA(INDEX(Table_INPUT_2D[Y],MATCH(Table8[[#This Row],[UID]],Table_INPUT_2D[Unique ID],0)),"")</f>
        <v>4425.3980000000001</v>
      </c>
      <c r="D331" s="144">
        <f>_xlfn.IFNA(INDEX(Table_INPUT_2D[Z],MATCH(Table8[[#This Row],[UID]],Table_INPUT_2D[Unique ID],0)),"")</f>
        <v>239.50700000000001</v>
      </c>
      <c r="E331" s="146" t="s">
        <v>556</v>
      </c>
      <c r="G331" s="4" t="str">
        <f>IF($A$343 &lt;&gt; "",$A$343, "")</f>
        <v>MR9101</v>
      </c>
      <c r="H331" s="4">
        <f>IF($B$343 &lt;&gt; "",$B$343, "")</f>
        <v>11673.679</v>
      </c>
      <c r="I331" s="4">
        <f>IF($C$343 &lt;&gt; "",$C$343, "")</f>
        <v>4378.0460000000003</v>
      </c>
      <c r="J331" s="4">
        <f>IF($D$343 &lt;&gt; "",$D$343, "")</f>
        <v>233.93899999999999</v>
      </c>
      <c r="K331" s="156">
        <f>AVERAGE($H$331,$H$332)</f>
        <v>11673.6785</v>
      </c>
      <c r="L331" s="156">
        <f>AVERAGE($I$331,$I$332)</f>
        <v>4378.0460000000003</v>
      </c>
      <c r="M331" s="156">
        <f>AVERAGE($J$331,$J$332)</f>
        <v>233.93799999999999</v>
      </c>
      <c r="N331" s="156"/>
      <c r="O331" s="158">
        <f>$O$329+($N$330)</f>
        <v>152.80768801652897</v>
      </c>
      <c r="P331" s="156"/>
    </row>
    <row r="332" spans="1:16" x14ac:dyDescent="0.2">
      <c r="A332" s="142" t="s">
        <v>557</v>
      </c>
      <c r="B332" s="143">
        <f>_xlfn.IFNA(INDEX(Table_INPUT_2D[X],MATCH(Table8[[#This Row],[UID]],Table_INPUT_2D[Unique ID],0)),"")</f>
        <v>11565.710999999999</v>
      </c>
      <c r="C332" s="145">
        <f>_xlfn.IFNA(INDEX(Table_INPUT_2D[Y],MATCH(Table8[[#This Row],[UID]],Table_INPUT_2D[Unique ID],0)),"")</f>
        <v>4425.3980000000001</v>
      </c>
      <c r="D332" s="144">
        <f>_xlfn.IFNA(INDEX(Table_INPUT_2D[Z],MATCH(Table8[[#This Row],[UID]],Table_INPUT_2D[Unique ID],0)),"")</f>
        <v>239.51</v>
      </c>
      <c r="E332" s="146" t="s">
        <v>558</v>
      </c>
      <c r="G332" s="4" t="str">
        <f>IF($A$344 &lt;&gt; "",$A$344, "")</f>
        <v>MR9101</v>
      </c>
      <c r="H332" s="4">
        <f>IF($B$344 &lt;&gt; "",$B$344, "")</f>
        <v>11673.678</v>
      </c>
      <c r="I332" s="4">
        <f>IF($C$344 &lt;&gt; "",$C$344, "")</f>
        <v>4378.0460000000003</v>
      </c>
      <c r="J332" s="4">
        <f>IF($D$344 &lt;&gt; "",$D$344, "")</f>
        <v>233.93700000000001</v>
      </c>
      <c r="K332" s="156"/>
      <c r="L332" s="156"/>
      <c r="M332" s="156"/>
      <c r="N332" s="156">
        <f>$M$333-$M$331</f>
        <v>-0.58199999999999363</v>
      </c>
      <c r="O332" s="158"/>
      <c r="P332" s="156">
        <f>SQRT(($K$333-$K$331)^2 +($L$333-$L$331)^2)</f>
        <v>21.73028578390031</v>
      </c>
    </row>
    <row r="333" spans="1:16" x14ac:dyDescent="0.2">
      <c r="A333" s="142" t="s">
        <v>560</v>
      </c>
      <c r="B333" s="143">
        <f>_xlfn.IFNA(INDEX(Table_INPUT_2D[X],MATCH(Table8[[#This Row],[UID]],Table_INPUT_2D[Unique ID],0)),"")</f>
        <v>11586.055</v>
      </c>
      <c r="C333" s="145">
        <f>_xlfn.IFNA(INDEX(Table_INPUT_2D[Y],MATCH(Table8[[#This Row],[UID]],Table_INPUT_2D[Unique ID],0)),"")</f>
        <v>4417.9539999999997</v>
      </c>
      <c r="D333" s="144">
        <f>_xlfn.IFNA(INDEX(Table_INPUT_2D[Z],MATCH(Table8[[#This Row],[UID]],Table_INPUT_2D[Unique ID],0)),"")</f>
        <v>238.07499999999999</v>
      </c>
      <c r="E333" s="146" t="s">
        <v>559</v>
      </c>
      <c r="G333" s="4" t="str">
        <f>IF($A$345 &lt;&gt; "",$A$345, "")</f>
        <v>MR9102</v>
      </c>
      <c r="H333" s="4">
        <f>IF($B$345 &lt;&gt; "",$B$345, "")</f>
        <v>11691.808000000001</v>
      </c>
      <c r="I333" s="4">
        <f>IF($C$345 &lt;&gt; "",$C$345, "")</f>
        <v>4366.0659999999998</v>
      </c>
      <c r="J333" s="4">
        <f>IF($D$345 &lt;&gt; "",$D$345, "")</f>
        <v>233.35499999999999</v>
      </c>
      <c r="K333" s="156">
        <f>AVERAGE($H$333,$H$334)</f>
        <v>11691.808499999999</v>
      </c>
      <c r="L333" s="156">
        <f>AVERAGE($I$333,$I$334)</f>
        <v>4366.0664999999999</v>
      </c>
      <c r="M333" s="156">
        <f>AVERAGE($J$333,$J$334)</f>
        <v>233.35599999999999</v>
      </c>
      <c r="N333" s="156"/>
      <c r="O333" s="158">
        <f>$O$331+($N$332)</f>
        <v>152.22568801652898</v>
      </c>
      <c r="P333" s="156"/>
    </row>
    <row r="334" spans="1:16" x14ac:dyDescent="0.2">
      <c r="A334" s="142" t="s">
        <v>560</v>
      </c>
      <c r="B334" s="143">
        <f>_xlfn.IFNA(INDEX(Table_INPUT_2D[X],MATCH(Table8[[#This Row],[UID]],Table_INPUT_2D[Unique ID],0)),"")</f>
        <v>11586.055</v>
      </c>
      <c r="C334" s="145">
        <f>_xlfn.IFNA(INDEX(Table_INPUT_2D[Y],MATCH(Table8[[#This Row],[UID]],Table_INPUT_2D[Unique ID],0)),"")</f>
        <v>4417.9539999999997</v>
      </c>
      <c r="D334" s="144">
        <f>_xlfn.IFNA(INDEX(Table_INPUT_2D[Z],MATCH(Table8[[#This Row],[UID]],Table_INPUT_2D[Unique ID],0)),"")</f>
        <v>238.07599999999999</v>
      </c>
      <c r="E334" s="146" t="s">
        <v>561</v>
      </c>
      <c r="G334" s="4" t="str">
        <f>IF($A$346 &lt;&gt; "",$A$346, "")</f>
        <v>MR9102</v>
      </c>
      <c r="H334" s="4">
        <f>IF($B$346 &lt;&gt; "",$B$346, "")</f>
        <v>11691.808999999999</v>
      </c>
      <c r="I334" s="4">
        <f>IF($C$346 &lt;&gt; "",$C$346, "")</f>
        <v>4366.067</v>
      </c>
      <c r="J334" s="4">
        <f>IF($D$346 &lt;&gt; "",$D$346, "")</f>
        <v>233.357</v>
      </c>
      <c r="K334" s="156"/>
      <c r="L334" s="156"/>
      <c r="M334" s="156"/>
      <c r="N334" s="156">
        <f>$M$335-$M$333</f>
        <v>-0.82249999999999091</v>
      </c>
      <c r="O334" s="158"/>
      <c r="P334" s="156">
        <f>SQRT(($K$335-$K$333)^2 +($L$335-$L$333)^2)</f>
        <v>18.46430543643665</v>
      </c>
    </row>
    <row r="335" spans="1:16" x14ac:dyDescent="0.2">
      <c r="A335" s="142" t="s">
        <v>563</v>
      </c>
      <c r="B335" s="143">
        <f>_xlfn.IFNA(INDEX(Table_INPUT_2D[X],MATCH(Table8[[#This Row],[UID]],Table_INPUT_2D[Unique ID],0)),"")</f>
        <v>11603.592000000001</v>
      </c>
      <c r="C335" s="145">
        <f>_xlfn.IFNA(INDEX(Table_INPUT_2D[Y],MATCH(Table8[[#This Row],[UID]],Table_INPUT_2D[Unique ID],0)),"")</f>
        <v>4411.5929999999998</v>
      </c>
      <c r="D335" s="144">
        <f>_xlfn.IFNA(INDEX(Table_INPUT_2D[Z],MATCH(Table8[[#This Row],[UID]],Table_INPUT_2D[Unique ID],0)),"")</f>
        <v>237.00800000000001</v>
      </c>
      <c r="E335" s="146" t="s">
        <v>562</v>
      </c>
      <c r="G335" s="4" t="str">
        <f>IF($A$347 &lt;&gt; "",$A$347, "")</f>
        <v>MR9103</v>
      </c>
      <c r="H335" s="4">
        <f>IF($B$347 &lt;&gt; "",$B$347, "")</f>
        <v>11707.172</v>
      </c>
      <c r="I335" s="4">
        <f>IF($C$347 &lt;&gt; "",$C$347, "")</f>
        <v>4355.8249999999998</v>
      </c>
      <c r="J335" s="4">
        <f>IF($D$347 &lt;&gt; "",$D$347, "")</f>
        <v>232.535</v>
      </c>
      <c r="K335" s="156">
        <f>AVERAGE($H$335,$H$336)</f>
        <v>11707.1715</v>
      </c>
      <c r="L335" s="156">
        <f>AVERAGE($I$335,$I$336)</f>
        <v>4355.8240000000005</v>
      </c>
      <c r="M335" s="156">
        <f>AVERAGE($J$335,$J$336)</f>
        <v>232.5335</v>
      </c>
      <c r="N335" s="156"/>
      <c r="O335" s="158">
        <f>$O$333+($N$334)</f>
        <v>151.40318801652899</v>
      </c>
      <c r="P335" s="156"/>
    </row>
    <row r="336" spans="1:16" x14ac:dyDescent="0.2">
      <c r="A336" s="142" t="s">
        <v>563</v>
      </c>
      <c r="B336" s="143">
        <f>_xlfn.IFNA(INDEX(Table_INPUT_2D[X],MATCH(Table8[[#This Row],[UID]],Table_INPUT_2D[Unique ID],0)),"")</f>
        <v>11603.592000000001</v>
      </c>
      <c r="C336" s="145">
        <f>_xlfn.IFNA(INDEX(Table_INPUT_2D[Y],MATCH(Table8[[#This Row],[UID]],Table_INPUT_2D[Unique ID],0)),"")</f>
        <v>4411.5929999999998</v>
      </c>
      <c r="D336" s="144">
        <f>_xlfn.IFNA(INDEX(Table_INPUT_2D[Z],MATCH(Table8[[#This Row],[UID]],Table_INPUT_2D[Unique ID],0)),"")</f>
        <v>237.006</v>
      </c>
      <c r="E336" s="146" t="s">
        <v>564</v>
      </c>
      <c r="G336" s="4" t="str">
        <f>IF($A$348 &lt;&gt; "",$A$348, "")</f>
        <v>MR9103</v>
      </c>
      <c r="H336" s="4">
        <f>IF($B$348 &lt;&gt; "",$B$348, "")</f>
        <v>11707.171</v>
      </c>
      <c r="I336" s="4">
        <f>IF($C$348 &lt;&gt; "",$C$348, "")</f>
        <v>4355.8230000000003</v>
      </c>
      <c r="J336" s="4">
        <f>IF($D$348 &lt;&gt; "",$D$348, "")</f>
        <v>232.53200000000001</v>
      </c>
      <c r="K336" s="156"/>
      <c r="L336" s="156"/>
      <c r="M336" s="156"/>
      <c r="N336" s="156">
        <f>$M$337-$M$335</f>
        <v>-0.72050000000001546</v>
      </c>
      <c r="O336" s="158"/>
      <c r="P336" s="156">
        <f>SQRT(($K$337-$K$335)^2 +($L$337-$L$335)^2)</f>
        <v>21.880907413770043</v>
      </c>
    </row>
    <row r="337" spans="1:16" x14ac:dyDescent="0.2">
      <c r="A337" s="142" t="s">
        <v>566</v>
      </c>
      <c r="B337" s="143">
        <f>_xlfn.IFNA(INDEX(Table_INPUT_2D[X],MATCH(Table8[[#This Row],[UID]],Table_INPUT_2D[Unique ID],0)),"")</f>
        <v>11623.094999999999</v>
      </c>
      <c r="C337" s="145">
        <f>_xlfn.IFNA(INDEX(Table_INPUT_2D[Y],MATCH(Table8[[#This Row],[UID]],Table_INPUT_2D[Unique ID],0)),"")</f>
        <v>4404.1530000000002</v>
      </c>
      <c r="D337" s="144">
        <f>_xlfn.IFNA(INDEX(Table_INPUT_2D[Z],MATCH(Table8[[#This Row],[UID]],Table_INPUT_2D[Unique ID],0)),"")</f>
        <v>235.96899999999999</v>
      </c>
      <c r="E337" s="146" t="s">
        <v>565</v>
      </c>
      <c r="G337" s="4" t="str">
        <f>IF($A$349 &lt;&gt; "",$A$349, "")</f>
        <v>MR9104</v>
      </c>
      <c r="H337" s="4">
        <f>IF($B$349 &lt;&gt; "",$B$349, "")</f>
        <v>11725.406000000001</v>
      </c>
      <c r="I337" s="4">
        <f>IF($C$349 &lt;&gt; "",$C$349, "")</f>
        <v>4343.7290000000003</v>
      </c>
      <c r="J337" s="4">
        <f>IF($D$349 &lt;&gt; "",$D$349, "")</f>
        <v>231.81100000000001</v>
      </c>
      <c r="K337" s="156">
        <f>AVERAGE($H$337,$H$338)</f>
        <v>11725.406999999999</v>
      </c>
      <c r="L337" s="156">
        <f>AVERAGE($I$337,$I$338)</f>
        <v>4343.7309999999998</v>
      </c>
      <c r="M337" s="156">
        <f>AVERAGE($J$337,$J$338)</f>
        <v>231.81299999999999</v>
      </c>
      <c r="N337" s="156"/>
      <c r="O337" s="158">
        <f>$O$335+($N$336)</f>
        <v>150.68268801652897</v>
      </c>
      <c r="P337" s="156"/>
    </row>
    <row r="338" spans="1:16" x14ac:dyDescent="0.2">
      <c r="A338" s="142" t="s">
        <v>566</v>
      </c>
      <c r="B338" s="143">
        <f>_xlfn.IFNA(INDEX(Table_INPUT_2D[X],MATCH(Table8[[#This Row],[UID]],Table_INPUT_2D[Unique ID],0)),"")</f>
        <v>11623.093999999999</v>
      </c>
      <c r="C338" s="145">
        <f>_xlfn.IFNA(INDEX(Table_INPUT_2D[Y],MATCH(Table8[[#This Row],[UID]],Table_INPUT_2D[Unique ID],0)),"")</f>
        <v>4404.1540000000005</v>
      </c>
      <c r="D338" s="144">
        <f>_xlfn.IFNA(INDEX(Table_INPUT_2D[Z],MATCH(Table8[[#This Row],[UID]],Table_INPUT_2D[Unique ID],0)),"")</f>
        <v>235.96899999999999</v>
      </c>
      <c r="E338" s="146" t="s">
        <v>567</v>
      </c>
      <c r="G338" s="4" t="str">
        <f>IF($A$350 &lt;&gt; "",$A$350, "")</f>
        <v>MR9104</v>
      </c>
      <c r="H338" s="4">
        <f>IF($B$350 &lt;&gt; "",$B$350, "")</f>
        <v>11725.407999999999</v>
      </c>
      <c r="I338" s="4">
        <f>IF($C$350 &lt;&gt; "",$C$350, "")</f>
        <v>4343.7330000000002</v>
      </c>
      <c r="J338" s="4">
        <f>IF($D$350 &lt;&gt; "",$D$350, "")</f>
        <v>231.815</v>
      </c>
      <c r="K338" s="156"/>
      <c r="L338" s="156"/>
      <c r="M338" s="156"/>
      <c r="N338" s="156">
        <f>$M$339-$M$337</f>
        <v>-0.51499999999998636</v>
      </c>
      <c r="O338" s="158"/>
      <c r="P338" s="156">
        <f>SQRT(($K$339-$K$337)^2 +($L$339-$L$337)^2)</f>
        <v>15.721589017972374</v>
      </c>
    </row>
    <row r="339" spans="1:16" x14ac:dyDescent="0.2">
      <c r="A339" s="142" t="s">
        <v>569</v>
      </c>
      <c r="B339" s="143">
        <f>_xlfn.IFNA(INDEX(Table_INPUT_2D[X],MATCH(Table8[[#This Row],[UID]],Table_INPUT_2D[Unique ID],0)),"")</f>
        <v>11640.251</v>
      </c>
      <c r="C339" s="145">
        <f>_xlfn.IFNA(INDEX(Table_INPUT_2D[Y],MATCH(Table8[[#This Row],[UID]],Table_INPUT_2D[Unique ID],0)),"")</f>
        <v>4397.308</v>
      </c>
      <c r="D339" s="144">
        <f>_xlfn.IFNA(INDEX(Table_INPUT_2D[Z],MATCH(Table8[[#This Row],[UID]],Table_INPUT_2D[Unique ID],0)),"")</f>
        <v>235.17699999999999</v>
      </c>
      <c r="E339" s="146" t="s">
        <v>568</v>
      </c>
      <c r="G339" s="4" t="str">
        <f>IF($A$351 &lt;&gt; "",$A$351, "")</f>
        <v>MR9105</v>
      </c>
      <c r="H339" s="4">
        <f>IF($B$351 &lt;&gt; "",$B$351, "")</f>
        <v>11739.056</v>
      </c>
      <c r="I339" s="4">
        <f>IF($C$351 &lt;&gt; "",$C$351, "")</f>
        <v>4335.9290000000001</v>
      </c>
      <c r="J339" s="4">
        <f>IF($D$351 &lt;&gt; "",$D$351, "")</f>
        <v>231.30199999999999</v>
      </c>
      <c r="K339" s="156">
        <f>AVERAGE($H$339,$H$340)</f>
        <v>11739.0555</v>
      </c>
      <c r="L339" s="156">
        <f>AVERAGE($I$339,$I$340)</f>
        <v>4335.9279999999999</v>
      </c>
      <c r="M339" s="156">
        <f>AVERAGE($J$339,$J$340)</f>
        <v>231.298</v>
      </c>
      <c r="N339" s="156"/>
      <c r="O339" s="158">
        <f>$O$337+($N$338)</f>
        <v>150.16768801652898</v>
      </c>
      <c r="P339" s="156"/>
    </row>
    <row r="340" spans="1:16" x14ac:dyDescent="0.2">
      <c r="A340" s="142" t="s">
        <v>569</v>
      </c>
      <c r="B340" s="143">
        <f>_xlfn.IFNA(INDEX(Table_INPUT_2D[X],MATCH(Table8[[#This Row],[UID]],Table_INPUT_2D[Unique ID],0)),"")</f>
        <v>11640.251</v>
      </c>
      <c r="C340" s="145">
        <f>_xlfn.IFNA(INDEX(Table_INPUT_2D[Y],MATCH(Table8[[#This Row],[UID]],Table_INPUT_2D[Unique ID],0)),"")</f>
        <v>4397.3090000000002</v>
      </c>
      <c r="D340" s="144">
        <f>_xlfn.IFNA(INDEX(Table_INPUT_2D[Z],MATCH(Table8[[#This Row],[UID]],Table_INPUT_2D[Unique ID],0)),"")</f>
        <v>235.17699999999999</v>
      </c>
      <c r="E340" s="146" t="s">
        <v>570</v>
      </c>
      <c r="G340" s="4" t="str">
        <f>IF($A$352 &lt;&gt; "",$A$352, "")</f>
        <v>MR9105</v>
      </c>
      <c r="H340" s="4">
        <f>IF($B$352 &lt;&gt; "",$B$352, "")</f>
        <v>11739.055</v>
      </c>
      <c r="I340" s="4">
        <f>IF($C$352 &lt;&gt; "",$C$352, "")</f>
        <v>4335.9269999999997</v>
      </c>
      <c r="J340" s="4">
        <f>IF($D$352 &lt;&gt; "",$D$352, "")</f>
        <v>231.29400000000001</v>
      </c>
      <c r="K340" s="156"/>
      <c r="L340" s="156"/>
      <c r="M340" s="156"/>
      <c r="N340" s="156"/>
      <c r="O340" s="158"/>
      <c r="P340" s="156"/>
    </row>
    <row r="341" spans="1:16" x14ac:dyDescent="0.2">
      <c r="A341" s="142" t="s">
        <v>572</v>
      </c>
      <c r="B341" s="143">
        <f>_xlfn.IFNA(INDEX(Table_INPUT_2D[X],MATCH(Table8[[#This Row],[UID]],Table_INPUT_2D[Unique ID],0)),"")</f>
        <v>11659.049000000001</v>
      </c>
      <c r="C341" s="145">
        <f>_xlfn.IFNA(INDEX(Table_INPUT_2D[Y],MATCH(Table8[[#This Row],[UID]],Table_INPUT_2D[Unique ID],0)),"")</f>
        <v>4387.835</v>
      </c>
      <c r="D341" s="144">
        <f>_xlfn.IFNA(INDEX(Table_INPUT_2D[Z],MATCH(Table8[[#This Row],[UID]],Table_INPUT_2D[Unique ID],0)),"")</f>
        <v>234.46600000000001</v>
      </c>
      <c r="E341" s="146" t="s">
        <v>571</v>
      </c>
      <c r="G341" s="4" t="str">
        <f>IF($A$353 &lt;&gt; "",$A$353, "")</f>
        <v>CLOSE</v>
      </c>
      <c r="H341" s="4" t="str">
        <f>IF($B$353 &lt;&gt; "",$B$353, "")</f>
        <v/>
      </c>
      <c r="I341" s="4" t="str">
        <f>IF($C$353 &lt;&gt; "",$C$353, "")</f>
        <v/>
      </c>
      <c r="J341" s="4" t="str">
        <f>IF($D$353 &lt;&gt; "",$D$353, "")</f>
        <v/>
      </c>
      <c r="K341" s="156"/>
      <c r="L341" s="156"/>
      <c r="M341" s="156"/>
      <c r="N341" s="156"/>
      <c r="O341" s="158"/>
      <c r="P341" s="156"/>
    </row>
    <row r="342" spans="1:16" x14ac:dyDescent="0.2">
      <c r="A342" s="142" t="s">
        <v>572</v>
      </c>
      <c r="B342" s="143">
        <f>_xlfn.IFNA(INDEX(Table_INPUT_2D[X],MATCH(Table8[[#This Row],[UID]],Table_INPUT_2D[Unique ID],0)),"")</f>
        <v>11659.049000000001</v>
      </c>
      <c r="C342" s="145">
        <f>_xlfn.IFNA(INDEX(Table_INPUT_2D[Y],MATCH(Table8[[#This Row],[UID]],Table_INPUT_2D[Unique ID],0)),"")</f>
        <v>4387.835</v>
      </c>
      <c r="D342" s="144">
        <f>_xlfn.IFNA(INDEX(Table_INPUT_2D[Z],MATCH(Table8[[#This Row],[UID]],Table_INPUT_2D[Unique ID],0)),"")</f>
        <v>234.46600000000001</v>
      </c>
      <c r="E342" s="146" t="s">
        <v>573</v>
      </c>
      <c r="G342" s="4" t="str">
        <f>IF($A$354 &lt;&gt; "",$A$354, "")</f>
        <v>MR9093</v>
      </c>
      <c r="H342" s="4">
        <f>IF($B$354 &lt;&gt; "",$B$354, "")</f>
        <v>11530.273999999999</v>
      </c>
      <c r="I342" s="4">
        <f>IF($C$354 &lt;&gt; "",$C$354, "")</f>
        <v>4437.9830000000002</v>
      </c>
      <c r="J342" s="4">
        <f>IF($D$354 &lt;&gt; "",$D$354, "")</f>
        <v>241.953</v>
      </c>
      <c r="K342" s="156">
        <f>AVERAGE($H$342,$H$343)</f>
        <v>11530.273499999999</v>
      </c>
      <c r="L342" s="156">
        <f>AVERAGE($I$342,$I$343)</f>
        <v>4437.982</v>
      </c>
      <c r="M342" s="156">
        <f>AVERAGE($J$342,$J$343)</f>
        <v>241.95600000000002</v>
      </c>
      <c r="N342" s="156"/>
      <c r="O342" s="158">
        <f>$O$344+(-$N$343)</f>
        <v>160.825688016529</v>
      </c>
      <c r="P342" s="156"/>
    </row>
    <row r="343" spans="1:16" x14ac:dyDescent="0.2">
      <c r="A343" s="142" t="s">
        <v>575</v>
      </c>
      <c r="B343" s="143">
        <f>_xlfn.IFNA(INDEX(Table_INPUT_2D[X],MATCH(Table8[[#This Row],[UID]],Table_INPUT_2D[Unique ID],0)),"")</f>
        <v>11673.679</v>
      </c>
      <c r="C343" s="145">
        <f>_xlfn.IFNA(INDEX(Table_INPUT_2D[Y],MATCH(Table8[[#This Row],[UID]],Table_INPUT_2D[Unique ID],0)),"")</f>
        <v>4378.0460000000003</v>
      </c>
      <c r="D343" s="144">
        <f>_xlfn.IFNA(INDEX(Table_INPUT_2D[Z],MATCH(Table8[[#This Row],[UID]],Table_INPUT_2D[Unique ID],0)),"")</f>
        <v>233.93899999999999</v>
      </c>
      <c r="E343" s="146" t="s">
        <v>574</v>
      </c>
      <c r="G343" s="4" t="str">
        <f>IF($A$355 &lt;&gt; "",$A$355, "")</f>
        <v>MR9093</v>
      </c>
      <c r="H343" s="4">
        <f>IF($B$355 &lt;&gt; "",$B$355, "")</f>
        <v>11530.272999999999</v>
      </c>
      <c r="I343" s="4">
        <f>IF($C$355 &lt;&gt; "",$C$355, "")</f>
        <v>4437.9809999999998</v>
      </c>
      <c r="J343" s="4">
        <f>IF($D$355 &lt;&gt; "",$D$355, "")</f>
        <v>241.959</v>
      </c>
      <c r="K343" s="156"/>
      <c r="L343" s="156"/>
      <c r="M343" s="156"/>
      <c r="N343" s="156">
        <f>$M$344-$M$342</f>
        <v>-10.658000000000015</v>
      </c>
      <c r="O343" s="158"/>
      <c r="P343" s="156">
        <f>SQRT(($K$344-$K$342)^2 +($L$344-$L$342)^2)</f>
        <v>232.3896148647793</v>
      </c>
    </row>
    <row r="344" spans="1:16" x14ac:dyDescent="0.2">
      <c r="A344" s="142" t="s">
        <v>575</v>
      </c>
      <c r="B344" s="143">
        <f>_xlfn.IFNA(INDEX(Table_INPUT_2D[X],MATCH(Table8[[#This Row],[UID]],Table_INPUT_2D[Unique ID],0)),"")</f>
        <v>11673.678</v>
      </c>
      <c r="C344" s="145">
        <f>_xlfn.IFNA(INDEX(Table_INPUT_2D[Y],MATCH(Table8[[#This Row],[UID]],Table_INPUT_2D[Unique ID],0)),"")</f>
        <v>4378.0460000000003</v>
      </c>
      <c r="D344" s="144">
        <f>_xlfn.IFNA(INDEX(Table_INPUT_2D[Z],MATCH(Table8[[#This Row],[UID]],Table_INPUT_2D[Unique ID],0)),"")</f>
        <v>233.93700000000001</v>
      </c>
      <c r="E344" s="146" t="s">
        <v>576</v>
      </c>
      <c r="G344" s="4" t="str">
        <f>IF($A$356 &lt;&gt; "",$A$356, "")</f>
        <v>MR9105</v>
      </c>
      <c r="H344" s="4">
        <f>IF($B$356 &lt;&gt; "",$B$356, "")</f>
        <v>11739.054</v>
      </c>
      <c r="I344" s="4">
        <f>IF($C$356 &lt;&gt; "",$C$356, "")</f>
        <v>4335.9250000000002</v>
      </c>
      <c r="J344" s="4">
        <f>IF($D$356 &lt;&gt; "",$D$356, "")</f>
        <v>231.29400000000001</v>
      </c>
      <c r="K344" s="156">
        <f>AVERAGE($H$344,$H$345)</f>
        <v>11739.0545</v>
      </c>
      <c r="L344" s="156">
        <f>AVERAGE($I$344,$I$345)</f>
        <v>4335.9259999999995</v>
      </c>
      <c r="M344" s="156">
        <f>AVERAGE($J$344,$J$345)</f>
        <v>231.298</v>
      </c>
      <c r="N344" s="156"/>
      <c r="O344" s="158">
        <f>$O$339</f>
        <v>150.16768801652898</v>
      </c>
      <c r="P344" s="156"/>
    </row>
    <row r="345" spans="1:16" x14ac:dyDescent="0.2">
      <c r="A345" s="142" t="s">
        <v>578</v>
      </c>
      <c r="B345" s="143">
        <f>_xlfn.IFNA(INDEX(Table_INPUT_2D[X],MATCH(Table8[[#This Row],[UID]],Table_INPUT_2D[Unique ID],0)),"")</f>
        <v>11691.808000000001</v>
      </c>
      <c r="C345" s="145">
        <f>_xlfn.IFNA(INDEX(Table_INPUT_2D[Y],MATCH(Table8[[#This Row],[UID]],Table_INPUT_2D[Unique ID],0)),"")</f>
        <v>4366.0659999999998</v>
      </c>
      <c r="D345" s="144">
        <f>_xlfn.IFNA(INDEX(Table_INPUT_2D[Z],MATCH(Table8[[#This Row],[UID]],Table_INPUT_2D[Unique ID],0)),"")</f>
        <v>233.35499999999999</v>
      </c>
      <c r="E345" s="146" t="s">
        <v>577</v>
      </c>
      <c r="G345" s="4" t="str">
        <f>IF($A$357 &lt;&gt; "",$A$357, "")</f>
        <v>MR9105</v>
      </c>
      <c r="H345" s="4">
        <f>IF($B$357 &lt;&gt; "",$B$357, "")</f>
        <v>11739.055</v>
      </c>
      <c r="I345" s="4">
        <f>IF($C$357 &lt;&gt; "",$C$357, "")</f>
        <v>4335.9269999999997</v>
      </c>
      <c r="J345" s="4">
        <f>IF($D$357 &lt;&gt; "",$D$357, "")</f>
        <v>231.30199999999999</v>
      </c>
      <c r="K345" s="156"/>
      <c r="L345" s="156"/>
      <c r="M345" s="156"/>
      <c r="N345" s="156"/>
      <c r="O345" s="158"/>
      <c r="P345" s="156"/>
    </row>
    <row r="346" spans="1:16" x14ac:dyDescent="0.2">
      <c r="A346" s="142" t="s">
        <v>578</v>
      </c>
      <c r="B346" s="143">
        <f>_xlfn.IFNA(INDEX(Table_INPUT_2D[X],MATCH(Table8[[#This Row],[UID]],Table_INPUT_2D[Unique ID],0)),"")</f>
        <v>11691.808999999999</v>
      </c>
      <c r="C346" s="145">
        <f>_xlfn.IFNA(INDEX(Table_INPUT_2D[Y],MATCH(Table8[[#This Row],[UID]],Table_INPUT_2D[Unique ID],0)),"")</f>
        <v>4366.067</v>
      </c>
      <c r="D346" s="144">
        <f>_xlfn.IFNA(INDEX(Table_INPUT_2D[Z],MATCH(Table8[[#This Row],[UID]],Table_INPUT_2D[Unique ID],0)),"")</f>
        <v>233.357</v>
      </c>
      <c r="E346" s="146" t="s">
        <v>579</v>
      </c>
      <c r="G346" s="4" t="str">
        <f>IF($A$358 &lt;&gt; "",$A$358, "")</f>
        <v>STN15</v>
      </c>
      <c r="H346" s="4"/>
      <c r="I346" s="4"/>
      <c r="J346" s="4"/>
      <c r="K346" s="156"/>
      <c r="L346" s="156"/>
      <c r="M346" s="156"/>
      <c r="N346" s="4"/>
      <c r="O346" s="4"/>
      <c r="P346" s="4"/>
    </row>
    <row r="347" spans="1:16" x14ac:dyDescent="0.2">
      <c r="A347" s="142" t="s">
        <v>581</v>
      </c>
      <c r="B347" s="143">
        <f>_xlfn.IFNA(INDEX(Table_INPUT_2D[X],MATCH(Table8[[#This Row],[UID]],Table_INPUT_2D[Unique ID],0)),"")</f>
        <v>11707.172</v>
      </c>
      <c r="C347" s="145">
        <f>_xlfn.IFNA(INDEX(Table_INPUT_2D[Y],MATCH(Table8[[#This Row],[UID]],Table_INPUT_2D[Unique ID],0)),"")</f>
        <v>4355.8249999999998</v>
      </c>
      <c r="D347" s="144">
        <f>_xlfn.IFNA(INDEX(Table_INPUT_2D[Z],MATCH(Table8[[#This Row],[UID]],Table_INPUT_2D[Unique ID],0)),"")</f>
        <v>232.535</v>
      </c>
      <c r="E347" s="146" t="s">
        <v>580</v>
      </c>
      <c r="G347" s="4" t="str">
        <f>IF($A$359 &lt;&gt; "",$A$359, "")</f>
        <v>MR9105</v>
      </c>
      <c r="H347" s="4">
        <f>IF($B$359 &lt;&gt; "",$B$359, "")</f>
        <v>5008.4560000000001</v>
      </c>
      <c r="I347" s="4">
        <f>IF($C$359 &lt;&gt; "",$C$359, "")</f>
        <v>9889.5220000000008</v>
      </c>
      <c r="J347" s="4">
        <f>IF($D$359 &lt;&gt; "",$D$359, "")</f>
        <v>203.012</v>
      </c>
      <c r="K347" s="156">
        <f>AVERAGE($H$347,$H$348)</f>
        <v>5008.4575000000004</v>
      </c>
      <c r="L347" s="156">
        <f>AVERAGE($I$347,$I$348)</f>
        <v>9889.5220000000008</v>
      </c>
      <c r="M347" s="156">
        <f>AVERAGE($J$347,$J$348)</f>
        <v>203.01650000000001</v>
      </c>
      <c r="N347" s="156"/>
      <c r="O347" s="158">
        <f>$O$339</f>
        <v>150.16768801652898</v>
      </c>
      <c r="P347" s="156"/>
    </row>
    <row r="348" spans="1:16" x14ac:dyDescent="0.2">
      <c r="A348" s="142" t="s">
        <v>581</v>
      </c>
      <c r="B348" s="143">
        <f>_xlfn.IFNA(INDEX(Table_INPUT_2D[X],MATCH(Table8[[#This Row],[UID]],Table_INPUT_2D[Unique ID],0)),"")</f>
        <v>11707.171</v>
      </c>
      <c r="C348" s="145">
        <f>_xlfn.IFNA(INDEX(Table_INPUT_2D[Y],MATCH(Table8[[#This Row],[UID]],Table_INPUT_2D[Unique ID],0)),"")</f>
        <v>4355.8230000000003</v>
      </c>
      <c r="D348" s="144">
        <f>_xlfn.IFNA(INDEX(Table_INPUT_2D[Z],MATCH(Table8[[#This Row],[UID]],Table_INPUT_2D[Unique ID],0)),"")</f>
        <v>232.53200000000001</v>
      </c>
      <c r="E348" s="146" t="s">
        <v>582</v>
      </c>
      <c r="G348" s="4" t="str">
        <f>IF($A$360 &lt;&gt; "",$A$360, "")</f>
        <v>MR9105</v>
      </c>
      <c r="H348" s="4">
        <f>IF($B$360 &lt;&gt; "",$B$360, "")</f>
        <v>5008.4589999999998</v>
      </c>
      <c r="I348" s="4">
        <f>IF($C$360 &lt;&gt; "",$C$360, "")</f>
        <v>9889.5220000000008</v>
      </c>
      <c r="J348" s="4">
        <f>IF($D$360 &lt;&gt; "",$D$360, "")</f>
        <v>203.02099999999999</v>
      </c>
      <c r="K348" s="156"/>
      <c r="L348" s="156"/>
      <c r="M348" s="156"/>
      <c r="N348" s="156">
        <f>$M$349-$M$347</f>
        <v>-0.78100000000000591</v>
      </c>
      <c r="O348" s="158"/>
      <c r="P348" s="156">
        <f>SQRT(($K$349-$K$347)^2 +($L$349-$L$347)^2)</f>
        <v>23.138240641844856</v>
      </c>
    </row>
    <row r="349" spans="1:16" x14ac:dyDescent="0.2">
      <c r="A349" s="142" t="s">
        <v>584</v>
      </c>
      <c r="B349" s="143">
        <f>_xlfn.IFNA(INDEX(Table_INPUT_2D[X],MATCH(Table8[[#This Row],[UID]],Table_INPUT_2D[Unique ID],0)),"")</f>
        <v>11725.406000000001</v>
      </c>
      <c r="C349" s="145">
        <f>_xlfn.IFNA(INDEX(Table_INPUT_2D[Y],MATCH(Table8[[#This Row],[UID]],Table_INPUT_2D[Unique ID],0)),"")</f>
        <v>4343.7290000000003</v>
      </c>
      <c r="D349" s="144">
        <f>_xlfn.IFNA(INDEX(Table_INPUT_2D[Z],MATCH(Table8[[#This Row],[UID]],Table_INPUT_2D[Unique ID],0)),"")</f>
        <v>231.81100000000001</v>
      </c>
      <c r="E349" s="146" t="s">
        <v>583</v>
      </c>
      <c r="G349" s="4" t="str">
        <f>IF($A$361 &lt;&gt; "",$A$361, "")</f>
        <v>MR9106</v>
      </c>
      <c r="H349" s="4">
        <f>IF($B$361 &lt;&gt; "",$B$361, "")</f>
        <v>5011.21</v>
      </c>
      <c r="I349" s="4">
        <f>IF($C$361 &lt;&gt; "",$C$361, "")</f>
        <v>9912.4959999999992</v>
      </c>
      <c r="J349" s="4">
        <f>IF($D$361 &lt;&gt; "",$D$361, "")</f>
        <v>202.232</v>
      </c>
      <c r="K349" s="156">
        <f>AVERAGE($H$349,$H$350)</f>
        <v>5011.2094999999999</v>
      </c>
      <c r="L349" s="156">
        <f>AVERAGE($I$349,$I$350)</f>
        <v>9912.4959999999992</v>
      </c>
      <c r="M349" s="156">
        <f>AVERAGE($J$349,$J$350)</f>
        <v>202.2355</v>
      </c>
      <c r="N349" s="156"/>
      <c r="O349" s="158">
        <f>$O$347+($N$348)</f>
        <v>149.38668801652898</v>
      </c>
      <c r="P349" s="156"/>
    </row>
    <row r="350" spans="1:16" x14ac:dyDescent="0.2">
      <c r="A350" s="142" t="s">
        <v>584</v>
      </c>
      <c r="B350" s="143">
        <f>_xlfn.IFNA(INDEX(Table_INPUT_2D[X],MATCH(Table8[[#This Row],[UID]],Table_INPUT_2D[Unique ID],0)),"")</f>
        <v>11725.407999999999</v>
      </c>
      <c r="C350" s="145">
        <f>_xlfn.IFNA(INDEX(Table_INPUT_2D[Y],MATCH(Table8[[#This Row],[UID]],Table_INPUT_2D[Unique ID],0)),"")</f>
        <v>4343.7330000000002</v>
      </c>
      <c r="D350" s="144">
        <f>_xlfn.IFNA(INDEX(Table_INPUT_2D[Z],MATCH(Table8[[#This Row],[UID]],Table_INPUT_2D[Unique ID],0)),"")</f>
        <v>231.815</v>
      </c>
      <c r="E350" s="146" t="s">
        <v>585</v>
      </c>
      <c r="G350" s="4" t="str">
        <f>IF($A$362 &lt;&gt; "",$A$362, "")</f>
        <v>MR9106</v>
      </c>
      <c r="H350" s="4">
        <f>IF($B$362 &lt;&gt; "",$B$362, "")</f>
        <v>5011.2089999999998</v>
      </c>
      <c r="I350" s="4">
        <f>IF($C$362 &lt;&gt; "",$C$362, "")</f>
        <v>9912.4959999999992</v>
      </c>
      <c r="J350" s="4">
        <f>IF($D$362 &lt;&gt; "",$D$362, "")</f>
        <v>202.239</v>
      </c>
      <c r="K350" s="156"/>
      <c r="L350" s="156"/>
      <c r="M350" s="156"/>
      <c r="N350" s="156">
        <f>$M$351-$M$349</f>
        <v>-1.1795000000000186</v>
      </c>
      <c r="O350" s="158"/>
      <c r="P350" s="156">
        <f>SQRT(($K$351-$K$349)^2 +($L$351-$L$349)^2)</f>
        <v>23.150326066819382</v>
      </c>
    </row>
    <row r="351" spans="1:16" x14ac:dyDescent="0.2">
      <c r="A351" s="142" t="s">
        <v>587</v>
      </c>
      <c r="B351" s="143">
        <f>_xlfn.IFNA(INDEX(Table_INPUT_2D[X],MATCH(Table8[[#This Row],[UID]],Table_INPUT_2D[Unique ID],0)),"")</f>
        <v>11739.056</v>
      </c>
      <c r="C351" s="145">
        <f>_xlfn.IFNA(INDEX(Table_INPUT_2D[Y],MATCH(Table8[[#This Row],[UID]],Table_INPUT_2D[Unique ID],0)),"")</f>
        <v>4335.9290000000001</v>
      </c>
      <c r="D351" s="144">
        <f>_xlfn.IFNA(INDEX(Table_INPUT_2D[Z],MATCH(Table8[[#This Row],[UID]],Table_INPUT_2D[Unique ID],0)),"")</f>
        <v>231.30199999999999</v>
      </c>
      <c r="E351" s="146" t="s">
        <v>586</v>
      </c>
      <c r="G351" s="4" t="str">
        <f>IF($A$363 &lt;&gt; "",$A$363, "")</f>
        <v>MR9107</v>
      </c>
      <c r="H351" s="4">
        <f>IF($B$363 &lt;&gt; "",$B$363, "")</f>
        <v>5013.79</v>
      </c>
      <c r="I351" s="4">
        <f>IF($C$363 &lt;&gt; "",$C$363, "")</f>
        <v>9935.5020000000004</v>
      </c>
      <c r="J351" s="4">
        <f>IF($D$363 &lt;&gt; "",$D$363, "")</f>
        <v>201.059</v>
      </c>
      <c r="K351" s="156">
        <f>AVERAGE($H$351,$H$352)</f>
        <v>5013.7905000000001</v>
      </c>
      <c r="L351" s="156">
        <f>AVERAGE($I$351,$I$352)</f>
        <v>9935.5020000000004</v>
      </c>
      <c r="M351" s="156">
        <f>AVERAGE($J$351,$J$352)</f>
        <v>201.05599999999998</v>
      </c>
      <c r="N351" s="156"/>
      <c r="O351" s="158">
        <f>$O$349+($N$350)</f>
        <v>148.20718801652896</v>
      </c>
      <c r="P351" s="156"/>
    </row>
    <row r="352" spans="1:16" x14ac:dyDescent="0.2">
      <c r="A352" s="142" t="s">
        <v>587</v>
      </c>
      <c r="B352" s="143">
        <f>_xlfn.IFNA(INDEX(Table_INPUT_2D[X],MATCH(Table8[[#This Row],[UID]],Table_INPUT_2D[Unique ID],0)),"")</f>
        <v>11739.055</v>
      </c>
      <c r="C352" s="145">
        <f>_xlfn.IFNA(INDEX(Table_INPUT_2D[Y],MATCH(Table8[[#This Row],[UID]],Table_INPUT_2D[Unique ID],0)),"")</f>
        <v>4335.9269999999997</v>
      </c>
      <c r="D352" s="144">
        <f>_xlfn.IFNA(INDEX(Table_INPUT_2D[Z],MATCH(Table8[[#This Row],[UID]],Table_INPUT_2D[Unique ID],0)),"")</f>
        <v>231.29400000000001</v>
      </c>
      <c r="E352" s="146" t="s">
        <v>588</v>
      </c>
      <c r="G352" s="4" t="str">
        <f>IF($A$364 &lt;&gt; "",$A$364, "")</f>
        <v>MR9107</v>
      </c>
      <c r="H352" s="4">
        <f>IF($B$364 &lt;&gt; "",$B$364, "")</f>
        <v>5013.7910000000002</v>
      </c>
      <c r="I352" s="4">
        <f>IF($C$364 &lt;&gt; "",$C$364, "")</f>
        <v>9935.5020000000004</v>
      </c>
      <c r="J352" s="4">
        <f>IF($D$364 &lt;&gt; "",$D$364, "")</f>
        <v>201.053</v>
      </c>
      <c r="K352" s="156"/>
      <c r="L352" s="156"/>
      <c r="M352" s="156"/>
      <c r="N352" s="156">
        <f>$M$353-$M$351</f>
        <v>-0.83049999999997226</v>
      </c>
      <c r="O352" s="158"/>
      <c r="P352" s="156">
        <f>SQRT(($K$353-$K$351)^2 +($L$353-$L$351)^2)</f>
        <v>18.715307137473975</v>
      </c>
    </row>
    <row r="353" spans="1:16" x14ac:dyDescent="0.2">
      <c r="A353" s="142" t="s">
        <v>21</v>
      </c>
      <c r="B353" s="143" t="str">
        <f>_xlfn.IFNA(INDEX(Table_INPUT_2D[X],MATCH(Table8[[#This Row],[UID]],Table_INPUT_2D[Unique ID],0)),"")</f>
        <v/>
      </c>
      <c r="C353" s="145" t="str">
        <f>_xlfn.IFNA(INDEX(Table_INPUT_2D[Y],MATCH(Table8[[#This Row],[UID]],Table_INPUT_2D[Unique ID],0)),"")</f>
        <v/>
      </c>
      <c r="D353" s="144" t="str">
        <f>_xlfn.IFNA(INDEX(Table_INPUT_2D[Z],MATCH(Table8[[#This Row],[UID]],Table_INPUT_2D[Unique ID],0)),"")</f>
        <v/>
      </c>
      <c r="E353" s="146"/>
      <c r="G353" s="4" t="str">
        <f>IF($A$365 &lt;&gt; "",$A$365, "")</f>
        <v>MR9108</v>
      </c>
      <c r="H353" s="4">
        <f>IF($B$365 &lt;&gt; "",$B$365, "")</f>
        <v>5015.6469999999999</v>
      </c>
      <c r="I353" s="4">
        <f>IF($C$365 &lt;&gt; "",$C$365, "")</f>
        <v>9954.125</v>
      </c>
      <c r="J353" s="4">
        <f>IF($D$365 &lt;&gt; "",$D$365, "")</f>
        <v>200.22399999999999</v>
      </c>
      <c r="K353" s="156">
        <f>AVERAGE($H$353,$H$354)</f>
        <v>5015.6469999999999</v>
      </c>
      <c r="L353" s="156">
        <f>AVERAGE($I$353,$I$354)</f>
        <v>9954.125</v>
      </c>
      <c r="M353" s="156">
        <f>AVERAGE($J$353,$J$354)</f>
        <v>200.22550000000001</v>
      </c>
      <c r="N353" s="156"/>
      <c r="O353" s="158">
        <f>$O$351+($N$352)</f>
        <v>147.37668801652899</v>
      </c>
      <c r="P353" s="156"/>
    </row>
    <row r="354" spans="1:16" x14ac:dyDescent="0.2">
      <c r="A354" s="142" t="s">
        <v>544</v>
      </c>
      <c r="B354" s="143">
        <f>_xlfn.IFNA(INDEX(Table_INPUT_2D[X],MATCH(Table8[[#This Row],[UID]],Table_INPUT_2D[Unique ID],0)),"")</f>
        <v>11530.273999999999</v>
      </c>
      <c r="C354" s="145">
        <f>_xlfn.IFNA(INDEX(Table_INPUT_2D[Y],MATCH(Table8[[#This Row],[UID]],Table_INPUT_2D[Unique ID],0)),"")</f>
        <v>4437.9830000000002</v>
      </c>
      <c r="D354" s="144">
        <f>_xlfn.IFNA(INDEX(Table_INPUT_2D[Z],MATCH(Table8[[#This Row],[UID]],Table_INPUT_2D[Unique ID],0)),"")</f>
        <v>241.953</v>
      </c>
      <c r="E354" s="146" t="s">
        <v>551</v>
      </c>
      <c r="G354" s="4" t="str">
        <f>IF($A$366 &lt;&gt; "",$A$366, "")</f>
        <v>MR9108</v>
      </c>
      <c r="H354" s="4">
        <f>IF($B$366 &lt;&gt; "",$B$366, "")</f>
        <v>5015.6469999999999</v>
      </c>
      <c r="I354" s="4">
        <f>IF($C$366 &lt;&gt; "",$C$366, "")</f>
        <v>9954.125</v>
      </c>
      <c r="J354" s="4">
        <f>IF($D$366 &lt;&gt; "",$D$366, "")</f>
        <v>200.227</v>
      </c>
      <c r="K354" s="156"/>
      <c r="L354" s="156"/>
      <c r="M354" s="156"/>
      <c r="N354" s="156">
        <f>$M$355-$M$353</f>
        <v>-0.56050000000001887</v>
      </c>
      <c r="O354" s="158"/>
      <c r="P354" s="156">
        <f>SQRT(($K$355-$K$353)^2 +($L$355-$L$353)^2)</f>
        <v>18.574534933612902</v>
      </c>
    </row>
    <row r="355" spans="1:16" x14ac:dyDescent="0.2">
      <c r="A355" s="142" t="s">
        <v>544</v>
      </c>
      <c r="B355" s="143">
        <f>_xlfn.IFNA(INDEX(Table_INPUT_2D[X],MATCH(Table8[[#This Row],[UID]],Table_INPUT_2D[Unique ID],0)),"")</f>
        <v>11530.272999999999</v>
      </c>
      <c r="C355" s="145">
        <f>_xlfn.IFNA(INDEX(Table_INPUT_2D[Y],MATCH(Table8[[#This Row],[UID]],Table_INPUT_2D[Unique ID],0)),"")</f>
        <v>4437.9809999999998</v>
      </c>
      <c r="D355" s="144">
        <f>_xlfn.IFNA(INDEX(Table_INPUT_2D[Z],MATCH(Table8[[#This Row],[UID]],Table_INPUT_2D[Unique ID],0)),"")</f>
        <v>241.959</v>
      </c>
      <c r="E355" s="146" t="s">
        <v>552</v>
      </c>
      <c r="G355" s="4" t="str">
        <f>IF($A$367 &lt;&gt; "",$A$367, "")</f>
        <v>MR9109</v>
      </c>
      <c r="H355" s="4">
        <f>IF($B$367 &lt;&gt; "",$B$367, "")</f>
        <v>5017.8950000000004</v>
      </c>
      <c r="I355" s="4">
        <f>IF($C$367 &lt;&gt; "",$C$367, "")</f>
        <v>9972.5630000000001</v>
      </c>
      <c r="J355" s="4">
        <f>IF($D$367 &lt;&gt; "",$D$367, "")</f>
        <v>199.666</v>
      </c>
      <c r="K355" s="156">
        <f>AVERAGE($H$355,$H$356)</f>
        <v>5017.8950000000004</v>
      </c>
      <c r="L355" s="156">
        <f>AVERAGE($I$355,$I$356)</f>
        <v>9972.5630000000001</v>
      </c>
      <c r="M355" s="156">
        <f>AVERAGE($J$355,$J$356)</f>
        <v>199.66499999999999</v>
      </c>
      <c r="N355" s="156"/>
      <c r="O355" s="158">
        <f>$O$353+($N$354)</f>
        <v>146.81618801652897</v>
      </c>
      <c r="P355" s="156"/>
    </row>
    <row r="356" spans="1:16" x14ac:dyDescent="0.2">
      <c r="A356" s="142" t="s">
        <v>587</v>
      </c>
      <c r="B356" s="143">
        <f>_xlfn.IFNA(INDEX(Table_INPUT_2D[X],MATCH(Table8[[#This Row],[UID]],Table_INPUT_2D[Unique ID],0)),"")</f>
        <v>11739.054</v>
      </c>
      <c r="C356" s="145">
        <f>_xlfn.IFNA(INDEX(Table_INPUT_2D[Y],MATCH(Table8[[#This Row],[UID]],Table_INPUT_2D[Unique ID],0)),"")</f>
        <v>4335.9250000000002</v>
      </c>
      <c r="D356" s="144">
        <f>_xlfn.IFNA(INDEX(Table_INPUT_2D[Z],MATCH(Table8[[#This Row],[UID]],Table_INPUT_2D[Unique ID],0)),"")</f>
        <v>231.29400000000001</v>
      </c>
      <c r="E356" s="146" t="s">
        <v>589</v>
      </c>
      <c r="G356" s="4" t="str">
        <f>IF($A$368 &lt;&gt; "",$A$368, "")</f>
        <v>MR9109</v>
      </c>
      <c r="H356" s="4">
        <f>IF($B$368 &lt;&gt; "",$B$368, "")</f>
        <v>5017.8950000000004</v>
      </c>
      <c r="I356" s="4">
        <f>IF($C$368 &lt;&gt; "",$C$368, "")</f>
        <v>9972.5630000000001</v>
      </c>
      <c r="J356" s="4">
        <f>IF($D$368 &lt;&gt; "",$D$368, "")</f>
        <v>199.66399999999999</v>
      </c>
      <c r="K356" s="156"/>
      <c r="L356" s="156"/>
      <c r="M356" s="156"/>
      <c r="N356" s="156">
        <f>$M$357-$M$355</f>
        <v>-0.91249999999999432</v>
      </c>
      <c r="O356" s="158"/>
      <c r="P356" s="156">
        <f>SQRT(($K$357-$K$355)^2 +($L$357-$L$355)^2)</f>
        <v>21.475718241772384</v>
      </c>
    </row>
    <row r="357" spans="1:16" x14ac:dyDescent="0.2">
      <c r="A357" s="142" t="s">
        <v>587</v>
      </c>
      <c r="B357" s="143">
        <f>_xlfn.IFNA(INDEX(Table_INPUT_2D[X],MATCH(Table8[[#This Row],[UID]],Table_INPUT_2D[Unique ID],0)),"")</f>
        <v>11739.055</v>
      </c>
      <c r="C357" s="145">
        <f>_xlfn.IFNA(INDEX(Table_INPUT_2D[Y],MATCH(Table8[[#This Row],[UID]],Table_INPUT_2D[Unique ID],0)),"")</f>
        <v>4335.9269999999997</v>
      </c>
      <c r="D357" s="144">
        <f>_xlfn.IFNA(INDEX(Table_INPUT_2D[Z],MATCH(Table8[[#This Row],[UID]],Table_INPUT_2D[Unique ID],0)),"")</f>
        <v>231.30199999999999</v>
      </c>
      <c r="E357" s="146" t="s">
        <v>590</v>
      </c>
      <c r="G357" s="4" t="str">
        <f>IF($A$369 &lt;&gt; "",$A$369, "")</f>
        <v>MR9110</v>
      </c>
      <c r="H357" s="4">
        <f>IF($B$369 &lt;&gt; "",$B$369, "")</f>
        <v>5020.1499999999996</v>
      </c>
      <c r="I357" s="4">
        <f>IF($C$369 &lt;&gt; "",$C$369, "")</f>
        <v>9993.92</v>
      </c>
      <c r="J357" s="4">
        <f>IF($D$369 &lt;&gt; "",$D$369, "")</f>
        <v>198.75200000000001</v>
      </c>
      <c r="K357" s="156">
        <f>AVERAGE($H$357,$H$358)</f>
        <v>5020.1499999999996</v>
      </c>
      <c r="L357" s="156">
        <f>AVERAGE($I$357,$I$358)</f>
        <v>9993.92</v>
      </c>
      <c r="M357" s="156">
        <f>AVERAGE($J$357,$J$358)</f>
        <v>198.7525</v>
      </c>
      <c r="N357" s="156"/>
      <c r="O357" s="158">
        <f>$O$355+($N$356)</f>
        <v>145.90368801652897</v>
      </c>
      <c r="P357" s="156"/>
    </row>
    <row r="358" spans="1:16" x14ac:dyDescent="0.2">
      <c r="A358" s="142" t="s">
        <v>591</v>
      </c>
      <c r="B358" s="143" t="str">
        <f>_xlfn.IFNA(INDEX(Table_INPUT_2D[X],MATCH(Table8[[#This Row],[UID]],Table_INPUT_2D[Unique ID],0)),"")</f>
        <v/>
      </c>
      <c r="C358" s="145" t="str">
        <f>_xlfn.IFNA(INDEX(Table_INPUT_2D[Y],MATCH(Table8[[#This Row],[UID]],Table_INPUT_2D[Unique ID],0)),"")</f>
        <v/>
      </c>
      <c r="D358" s="144" t="str">
        <f>_xlfn.IFNA(INDEX(Table_INPUT_2D[Z],MATCH(Table8[[#This Row],[UID]],Table_INPUT_2D[Unique ID],0)),"")</f>
        <v/>
      </c>
      <c r="E358" s="146"/>
      <c r="G358" s="4" t="str">
        <f>IF($A$370 &lt;&gt; "",$A$370, "")</f>
        <v>MR9110</v>
      </c>
      <c r="H358" s="4">
        <f>IF($B$370 &lt;&gt; "",$B$370, "")</f>
        <v>5020.1499999999996</v>
      </c>
      <c r="I358" s="4">
        <f>IF($C$370 &lt;&gt; "",$C$370, "")</f>
        <v>9993.92</v>
      </c>
      <c r="J358" s="4">
        <f>IF($D$370 &lt;&gt; "",$D$370, "")</f>
        <v>198.75299999999999</v>
      </c>
      <c r="K358" s="156"/>
      <c r="L358" s="156"/>
      <c r="M358" s="156"/>
      <c r="N358" s="156">
        <f>$M$359-$M$357</f>
        <v>-0.84850000000000136</v>
      </c>
      <c r="O358" s="158"/>
      <c r="P358" s="156">
        <f>SQRT(($K$359-$K$357)^2 +($L$359-$L$357)^2)</f>
        <v>18.533153779106179</v>
      </c>
    </row>
    <row r="359" spans="1:16" x14ac:dyDescent="0.2">
      <c r="A359" s="142" t="s">
        <v>587</v>
      </c>
      <c r="B359" s="143">
        <f>_xlfn.IFNA(INDEX(Table_INPUT_2D[X],MATCH(Table8[[#This Row],[UID]],Table_INPUT_2D[Unique ID],0)),"")</f>
        <v>5008.4560000000001</v>
      </c>
      <c r="C359" s="145">
        <f>_xlfn.IFNA(INDEX(Table_INPUT_2D[Y],MATCH(Table8[[#This Row],[UID]],Table_INPUT_2D[Unique ID],0)),"")</f>
        <v>9889.5220000000008</v>
      </c>
      <c r="D359" s="144">
        <f>_xlfn.IFNA(INDEX(Table_INPUT_2D[Z],MATCH(Table8[[#This Row],[UID]],Table_INPUT_2D[Unique ID],0)),"")</f>
        <v>203.012</v>
      </c>
      <c r="E359" s="146" t="s">
        <v>592</v>
      </c>
      <c r="G359" s="4" t="str">
        <f>IF($A$371 &lt;&gt; "",$A$371, "")</f>
        <v>MR9111</v>
      </c>
      <c r="H359" s="4">
        <f>IF($B$371 &lt;&gt; "",$B$371, "")</f>
        <v>5022.2830000000004</v>
      </c>
      <c r="I359" s="4">
        <f>IF($C$371 &lt;&gt; "",$C$371, "")</f>
        <v>10012.33</v>
      </c>
      <c r="J359" s="4">
        <f>IF($D$371 &lt;&gt; "",$D$371, "")</f>
        <v>197.905</v>
      </c>
      <c r="K359" s="156">
        <f>AVERAGE($H$359,$H$360)</f>
        <v>5022.2830000000004</v>
      </c>
      <c r="L359" s="156">
        <f>AVERAGE($I$359,$I$360)</f>
        <v>10012.33</v>
      </c>
      <c r="M359" s="156">
        <f>AVERAGE($J$359,$J$360)</f>
        <v>197.904</v>
      </c>
      <c r="N359" s="156"/>
      <c r="O359" s="158">
        <f>$O$357+($N$358)</f>
        <v>145.05518801652897</v>
      </c>
      <c r="P359" s="156"/>
    </row>
    <row r="360" spans="1:16" x14ac:dyDescent="0.2">
      <c r="A360" s="142" t="s">
        <v>587</v>
      </c>
      <c r="B360" s="143">
        <f>_xlfn.IFNA(INDEX(Table_INPUT_2D[X],MATCH(Table8[[#This Row],[UID]],Table_INPUT_2D[Unique ID],0)),"")</f>
        <v>5008.4589999999998</v>
      </c>
      <c r="C360" s="145">
        <f>_xlfn.IFNA(INDEX(Table_INPUT_2D[Y],MATCH(Table8[[#This Row],[UID]],Table_INPUT_2D[Unique ID],0)),"")</f>
        <v>9889.5220000000008</v>
      </c>
      <c r="D360" s="144">
        <f>_xlfn.IFNA(INDEX(Table_INPUT_2D[Z],MATCH(Table8[[#This Row],[UID]],Table_INPUT_2D[Unique ID],0)),"")</f>
        <v>203.02099999999999</v>
      </c>
      <c r="E360" s="146" t="s">
        <v>593</v>
      </c>
      <c r="G360" s="4" t="str">
        <f>IF($A$372 &lt;&gt; "",$A$372, "")</f>
        <v>MR9111</v>
      </c>
      <c r="H360" s="4">
        <f>IF($B$372 &lt;&gt; "",$B$372, "")</f>
        <v>5022.2830000000004</v>
      </c>
      <c r="I360" s="4">
        <f>IF($C$372 &lt;&gt; "",$C$372, "")</f>
        <v>10012.33</v>
      </c>
      <c r="J360" s="4">
        <f>IF($D$372 &lt;&gt; "",$D$372, "")</f>
        <v>197.90299999999999</v>
      </c>
      <c r="K360" s="156"/>
      <c r="L360" s="156"/>
      <c r="M360" s="156"/>
      <c r="N360" s="156">
        <f>$M$361-$M$359</f>
        <v>-0.70949999999999136</v>
      </c>
      <c r="O360" s="158"/>
      <c r="P360" s="156">
        <f>SQRT(($K$361-$K$359)^2 +($L$361-$L$359)^2)</f>
        <v>18.15832391081257</v>
      </c>
    </row>
    <row r="361" spans="1:16" x14ac:dyDescent="0.2">
      <c r="A361" s="142" t="s">
        <v>597</v>
      </c>
      <c r="B361" s="143">
        <f>_xlfn.IFNA(INDEX(Table_INPUT_2D[X],MATCH(Table8[[#This Row],[UID]],Table_INPUT_2D[Unique ID],0)),"")</f>
        <v>5011.21</v>
      </c>
      <c r="C361" s="145">
        <f>_xlfn.IFNA(INDEX(Table_INPUT_2D[Y],MATCH(Table8[[#This Row],[UID]],Table_INPUT_2D[Unique ID],0)),"")</f>
        <v>9912.4959999999992</v>
      </c>
      <c r="D361" s="144">
        <f>_xlfn.IFNA(INDEX(Table_INPUT_2D[Z],MATCH(Table8[[#This Row],[UID]],Table_INPUT_2D[Unique ID],0)),"")</f>
        <v>202.232</v>
      </c>
      <c r="E361" s="146" t="s">
        <v>596</v>
      </c>
      <c r="G361" s="4" t="str">
        <f>IF($A$373 &lt;&gt; "",$A$373, "")</f>
        <v>MR9112</v>
      </c>
      <c r="H361" s="4">
        <f>IF($B$373 &lt;&gt; "",$B$373, "")</f>
        <v>5024.1610000000001</v>
      </c>
      <c r="I361" s="4">
        <f>IF($C$373 &lt;&gt; "",$C$373, "")</f>
        <v>10030.391</v>
      </c>
      <c r="J361" s="4">
        <f>IF($D$373 &lt;&gt; "",$D$373, "")</f>
        <v>197.19300000000001</v>
      </c>
      <c r="K361" s="156">
        <f>AVERAGE($H$361,$H$362)</f>
        <v>5024.1605</v>
      </c>
      <c r="L361" s="156">
        <f>AVERAGE($I$361,$I$362)</f>
        <v>10030.391</v>
      </c>
      <c r="M361" s="156">
        <f>AVERAGE($J$361,$J$362)</f>
        <v>197.19450000000001</v>
      </c>
      <c r="N361" s="156"/>
      <c r="O361" s="158">
        <f>$O$359+($N$360)</f>
        <v>144.34568801652898</v>
      </c>
      <c r="P361" s="156"/>
    </row>
    <row r="362" spans="1:16" x14ac:dyDescent="0.2">
      <c r="A362" s="142" t="s">
        <v>597</v>
      </c>
      <c r="B362" s="143">
        <f>_xlfn.IFNA(INDEX(Table_INPUT_2D[X],MATCH(Table8[[#This Row],[UID]],Table_INPUT_2D[Unique ID],0)),"")</f>
        <v>5011.2089999999998</v>
      </c>
      <c r="C362" s="145">
        <f>_xlfn.IFNA(INDEX(Table_INPUT_2D[Y],MATCH(Table8[[#This Row],[UID]],Table_INPUT_2D[Unique ID],0)),"")</f>
        <v>9912.4959999999992</v>
      </c>
      <c r="D362" s="144">
        <f>_xlfn.IFNA(INDEX(Table_INPUT_2D[Z],MATCH(Table8[[#This Row],[UID]],Table_INPUT_2D[Unique ID],0)),"")</f>
        <v>202.239</v>
      </c>
      <c r="E362" s="146" t="s">
        <v>598</v>
      </c>
      <c r="G362" s="4" t="str">
        <f>IF($A$374 &lt;&gt; "",$A$374, "")</f>
        <v>MR9112</v>
      </c>
      <c r="H362" s="4">
        <f>IF($B$374 &lt;&gt; "",$B$374, "")</f>
        <v>5024.16</v>
      </c>
      <c r="I362" s="4">
        <f>IF($C$374 &lt;&gt; "",$C$374, "")</f>
        <v>10030.391</v>
      </c>
      <c r="J362" s="4">
        <f>IF($D$374 &lt;&gt; "",$D$374, "")</f>
        <v>197.196</v>
      </c>
      <c r="K362" s="156"/>
      <c r="L362" s="156"/>
      <c r="M362" s="156"/>
      <c r="N362" s="156">
        <f>$M$363-$M$361</f>
        <v>-0.58799999999999386</v>
      </c>
      <c r="O362" s="158"/>
      <c r="P362" s="156">
        <f>SQRT(($K$363-$K$361)^2 +($L$363-$L$361)^2)</f>
        <v>21.199830807107734</v>
      </c>
    </row>
    <row r="363" spans="1:16" x14ac:dyDescent="0.2">
      <c r="A363" s="142" t="s">
        <v>600</v>
      </c>
      <c r="B363" s="143">
        <f>_xlfn.IFNA(INDEX(Table_INPUT_2D[X],MATCH(Table8[[#This Row],[UID]],Table_INPUT_2D[Unique ID],0)),"")</f>
        <v>5013.79</v>
      </c>
      <c r="C363" s="145">
        <f>_xlfn.IFNA(INDEX(Table_INPUT_2D[Y],MATCH(Table8[[#This Row],[UID]],Table_INPUT_2D[Unique ID],0)),"")</f>
        <v>9935.5020000000004</v>
      </c>
      <c r="D363" s="144">
        <f>_xlfn.IFNA(INDEX(Table_INPUT_2D[Z],MATCH(Table8[[#This Row],[UID]],Table_INPUT_2D[Unique ID],0)),"")</f>
        <v>201.059</v>
      </c>
      <c r="E363" s="146" t="s">
        <v>599</v>
      </c>
      <c r="G363" s="4" t="str">
        <f>IF($A$375 &lt;&gt; "",$A$375, "")</f>
        <v>MR9113</v>
      </c>
      <c r="H363" s="4">
        <f>IF($B$375 &lt;&gt; "",$B$375, "")</f>
        <v>5026.5739999999996</v>
      </c>
      <c r="I363" s="4">
        <f>IF($C$375 &lt;&gt; "",$C$375, "")</f>
        <v>10051.453</v>
      </c>
      <c r="J363" s="4">
        <f>IF($D$375 &lt;&gt; "",$D$375, "")</f>
        <v>196.60900000000001</v>
      </c>
      <c r="K363" s="156">
        <f>AVERAGE($H$363,$H$364)</f>
        <v>5026.5739999999996</v>
      </c>
      <c r="L363" s="156">
        <f>AVERAGE($I$363,$I$364)</f>
        <v>10051.453</v>
      </c>
      <c r="M363" s="156">
        <f>AVERAGE($J$363,$J$364)</f>
        <v>196.60650000000001</v>
      </c>
      <c r="N363" s="156"/>
      <c r="O363" s="158">
        <f>$O$361+($N$362)</f>
        <v>143.75768801652899</v>
      </c>
      <c r="P363" s="156"/>
    </row>
    <row r="364" spans="1:16" x14ac:dyDescent="0.2">
      <c r="A364" s="142" t="s">
        <v>600</v>
      </c>
      <c r="B364" s="143">
        <f>_xlfn.IFNA(INDEX(Table_INPUT_2D[X],MATCH(Table8[[#This Row],[UID]],Table_INPUT_2D[Unique ID],0)),"")</f>
        <v>5013.7910000000002</v>
      </c>
      <c r="C364" s="145">
        <f>_xlfn.IFNA(INDEX(Table_INPUT_2D[Y],MATCH(Table8[[#This Row],[UID]],Table_INPUT_2D[Unique ID],0)),"")</f>
        <v>9935.5020000000004</v>
      </c>
      <c r="D364" s="144">
        <f>_xlfn.IFNA(INDEX(Table_INPUT_2D[Z],MATCH(Table8[[#This Row],[UID]],Table_INPUT_2D[Unique ID],0)),"")</f>
        <v>201.053</v>
      </c>
      <c r="E364" s="146" t="s">
        <v>601</v>
      </c>
      <c r="G364" s="4" t="str">
        <f>IF($A$376 &lt;&gt; "",$A$376, "")</f>
        <v>MR9113</v>
      </c>
      <c r="H364" s="4">
        <f>IF($B$376 &lt;&gt; "",$B$376, "")</f>
        <v>5026.5739999999996</v>
      </c>
      <c r="I364" s="4">
        <f>IF($C$376 &lt;&gt; "",$C$376, "")</f>
        <v>10051.453</v>
      </c>
      <c r="J364" s="4">
        <f>IF($D$376 &lt;&gt; "",$D$376, "")</f>
        <v>196.60400000000001</v>
      </c>
      <c r="K364" s="156"/>
      <c r="L364" s="156"/>
      <c r="M364" s="156"/>
      <c r="N364" s="156">
        <f>$M$365-$M$363</f>
        <v>-0.48750000000001137</v>
      </c>
      <c r="O364" s="158"/>
      <c r="P364" s="156">
        <f>SQRT(($K$365-$K$363)^2 +($L$365-$L$363)^2)</f>
        <v>17.904476039526816</v>
      </c>
    </row>
    <row r="365" spans="1:16" x14ac:dyDescent="0.2">
      <c r="A365" s="142" t="s">
        <v>603</v>
      </c>
      <c r="B365" s="143">
        <f>_xlfn.IFNA(INDEX(Table_INPUT_2D[X],MATCH(Table8[[#This Row],[UID]],Table_INPUT_2D[Unique ID],0)),"")</f>
        <v>5015.6469999999999</v>
      </c>
      <c r="C365" s="145">
        <f>_xlfn.IFNA(INDEX(Table_INPUT_2D[Y],MATCH(Table8[[#This Row],[UID]],Table_INPUT_2D[Unique ID],0)),"")</f>
        <v>9954.125</v>
      </c>
      <c r="D365" s="144">
        <f>_xlfn.IFNA(INDEX(Table_INPUT_2D[Z],MATCH(Table8[[#This Row],[UID]],Table_INPUT_2D[Unique ID],0)),"")</f>
        <v>200.22399999999999</v>
      </c>
      <c r="E365" s="146" t="s">
        <v>602</v>
      </c>
      <c r="G365" s="4" t="str">
        <f>IF($A$377 &lt;&gt; "",$A$377, "")</f>
        <v>MR9114</v>
      </c>
      <c r="H365" s="4">
        <f>IF($B$377 &lt;&gt; "",$B$377, "")</f>
        <v>5028.7969999999996</v>
      </c>
      <c r="I365" s="4">
        <f>IF($C$377 &lt;&gt; "",$C$377, "")</f>
        <v>10069.218999999999</v>
      </c>
      <c r="J365" s="4">
        <f>IF($D$377 &lt;&gt; "",$D$377, "")</f>
        <v>196.11500000000001</v>
      </c>
      <c r="K365" s="156">
        <f>AVERAGE($H$365,$H$366)</f>
        <v>5028.7965000000004</v>
      </c>
      <c r="L365" s="156">
        <f>AVERAGE($I$365,$I$366)</f>
        <v>10069.218999999999</v>
      </c>
      <c r="M365" s="156">
        <f>AVERAGE($J$365,$J$366)</f>
        <v>196.119</v>
      </c>
      <c r="N365" s="156"/>
      <c r="O365" s="158">
        <f>$O$363+($N$364)</f>
        <v>143.27018801652898</v>
      </c>
      <c r="P365" s="156"/>
    </row>
    <row r="366" spans="1:16" x14ac:dyDescent="0.2">
      <c r="A366" s="142" t="s">
        <v>603</v>
      </c>
      <c r="B366" s="143">
        <f>_xlfn.IFNA(INDEX(Table_INPUT_2D[X],MATCH(Table8[[#This Row],[UID]],Table_INPUT_2D[Unique ID],0)),"")</f>
        <v>5015.6469999999999</v>
      </c>
      <c r="C366" s="145">
        <f>_xlfn.IFNA(INDEX(Table_INPUT_2D[Y],MATCH(Table8[[#This Row],[UID]],Table_INPUT_2D[Unique ID],0)),"")</f>
        <v>9954.125</v>
      </c>
      <c r="D366" s="144">
        <f>_xlfn.IFNA(INDEX(Table_INPUT_2D[Z],MATCH(Table8[[#This Row],[UID]],Table_INPUT_2D[Unique ID],0)),"")</f>
        <v>200.227</v>
      </c>
      <c r="E366" s="146" t="s">
        <v>604</v>
      </c>
      <c r="G366" s="4" t="str">
        <f>IF($A$378 &lt;&gt; "",$A$378, "")</f>
        <v>MR9114</v>
      </c>
      <c r="H366" s="4">
        <f>IF($B$378 &lt;&gt; "",$B$378, "")</f>
        <v>5028.7960000000003</v>
      </c>
      <c r="I366" s="4">
        <f>IF($C$378 &lt;&gt; "",$C$378, "")</f>
        <v>10069.218999999999</v>
      </c>
      <c r="J366" s="4">
        <f>IF($D$378 &lt;&gt; "",$D$378, "")</f>
        <v>196.12299999999999</v>
      </c>
      <c r="K366" s="156"/>
      <c r="L366" s="156"/>
      <c r="M366" s="156"/>
      <c r="N366" s="156"/>
      <c r="O366" s="158"/>
      <c r="P366" s="156"/>
    </row>
    <row r="367" spans="1:16" x14ac:dyDescent="0.2">
      <c r="A367" s="142" t="s">
        <v>606</v>
      </c>
      <c r="B367" s="143">
        <f>_xlfn.IFNA(INDEX(Table_INPUT_2D[X],MATCH(Table8[[#This Row],[UID]],Table_INPUT_2D[Unique ID],0)),"")</f>
        <v>5017.8950000000004</v>
      </c>
      <c r="C367" s="145">
        <f>_xlfn.IFNA(INDEX(Table_INPUT_2D[Y],MATCH(Table8[[#This Row],[UID]],Table_INPUT_2D[Unique ID],0)),"")</f>
        <v>9972.5630000000001</v>
      </c>
      <c r="D367" s="144">
        <f>_xlfn.IFNA(INDEX(Table_INPUT_2D[Z],MATCH(Table8[[#This Row],[UID]],Table_INPUT_2D[Unique ID],0)),"")</f>
        <v>199.666</v>
      </c>
      <c r="E367" s="146" t="s">
        <v>605</v>
      </c>
      <c r="G367" s="4" t="str">
        <f>IF($A$379 &lt;&gt; "",$A$379, "")</f>
        <v>CLOSE</v>
      </c>
      <c r="H367" s="4" t="str">
        <f>IF($B$379 &lt;&gt; "",$B$379, "")</f>
        <v/>
      </c>
      <c r="I367" s="4" t="str">
        <f>IF($C$379 &lt;&gt; "",$C$379, "")</f>
        <v/>
      </c>
      <c r="J367" s="4" t="str">
        <f>IF($D$379 &lt;&gt; "",$D$379, "")</f>
        <v/>
      </c>
      <c r="K367" s="156"/>
      <c r="L367" s="156"/>
      <c r="M367" s="156"/>
      <c r="N367" s="156"/>
      <c r="O367" s="158"/>
      <c r="P367" s="156"/>
    </row>
    <row r="368" spans="1:16" x14ac:dyDescent="0.2">
      <c r="A368" s="142" t="s">
        <v>606</v>
      </c>
      <c r="B368" s="143">
        <f>_xlfn.IFNA(INDEX(Table_INPUT_2D[X],MATCH(Table8[[#This Row],[UID]],Table_INPUT_2D[Unique ID],0)),"")</f>
        <v>5017.8950000000004</v>
      </c>
      <c r="C368" s="145">
        <f>_xlfn.IFNA(INDEX(Table_INPUT_2D[Y],MATCH(Table8[[#This Row],[UID]],Table_INPUT_2D[Unique ID],0)),"")</f>
        <v>9972.5630000000001</v>
      </c>
      <c r="D368" s="144">
        <f>_xlfn.IFNA(INDEX(Table_INPUT_2D[Z],MATCH(Table8[[#This Row],[UID]],Table_INPUT_2D[Unique ID],0)),"")</f>
        <v>199.66399999999999</v>
      </c>
      <c r="E368" s="146" t="s">
        <v>607</v>
      </c>
      <c r="G368" s="4" t="str">
        <f>IF($A$380 &lt;&gt; "",$A$380, "")</f>
        <v>MR9105</v>
      </c>
      <c r="H368" s="4">
        <f>IF($B$380 &lt;&gt; "",$B$380, "")</f>
        <v>5008.4570000000003</v>
      </c>
      <c r="I368" s="4">
        <f>IF($C$380 &lt;&gt; "",$C$380, "")</f>
        <v>9889.5220000000008</v>
      </c>
      <c r="J368" s="4">
        <f>IF($D$380 &lt;&gt; "",$D$380, "")</f>
        <v>203.02199999999999</v>
      </c>
      <c r="K368" s="156">
        <f>AVERAGE($H$368,$H$369)</f>
        <v>5008.4565000000002</v>
      </c>
      <c r="L368" s="156">
        <f>AVERAGE($I$368,$I$369)</f>
        <v>9889.5220000000008</v>
      </c>
      <c r="M368" s="156">
        <f>AVERAGE($J$368,$J$369)</f>
        <v>203.01749999999998</v>
      </c>
      <c r="N368" s="156"/>
      <c r="O368" s="158">
        <f>$O$370+(-$N$369)</f>
        <v>150.16918801652895</v>
      </c>
      <c r="P368" s="156"/>
    </row>
    <row r="369" spans="1:16" x14ac:dyDescent="0.2">
      <c r="A369" s="142" t="s">
        <v>609</v>
      </c>
      <c r="B369" s="143">
        <f>_xlfn.IFNA(INDEX(Table_INPUT_2D[X],MATCH(Table8[[#This Row],[UID]],Table_INPUT_2D[Unique ID],0)),"")</f>
        <v>5020.1499999999996</v>
      </c>
      <c r="C369" s="145">
        <f>_xlfn.IFNA(INDEX(Table_INPUT_2D[Y],MATCH(Table8[[#This Row],[UID]],Table_INPUT_2D[Unique ID],0)),"")</f>
        <v>9993.92</v>
      </c>
      <c r="D369" s="144">
        <f>_xlfn.IFNA(INDEX(Table_INPUT_2D[Z],MATCH(Table8[[#This Row],[UID]],Table_INPUT_2D[Unique ID],0)),"")</f>
        <v>198.75200000000001</v>
      </c>
      <c r="E369" s="146" t="s">
        <v>608</v>
      </c>
      <c r="G369" s="4" t="str">
        <f>IF($A$381 &lt;&gt; "",$A$381, "")</f>
        <v>MR9105</v>
      </c>
      <c r="H369" s="4">
        <f>IF($B$381 &lt;&gt; "",$B$381, "")</f>
        <v>5008.4560000000001</v>
      </c>
      <c r="I369" s="4">
        <f>IF($C$381 &lt;&gt; "",$C$381, "")</f>
        <v>9889.5220000000008</v>
      </c>
      <c r="J369" s="4">
        <f>IF($D$381 &lt;&gt; "",$D$381, "")</f>
        <v>203.01300000000001</v>
      </c>
      <c r="K369" s="156"/>
      <c r="L369" s="156"/>
      <c r="M369" s="156"/>
      <c r="N369" s="156">
        <f>$M$370-$M$368</f>
        <v>-6.8989999999999725</v>
      </c>
      <c r="O369" s="158"/>
      <c r="P369" s="156">
        <f>SQRT(($K$370-$K$368)^2 +($L$370-$L$368)^2)</f>
        <v>180.84448404360967</v>
      </c>
    </row>
    <row r="370" spans="1:16" x14ac:dyDescent="0.2">
      <c r="A370" s="142" t="s">
        <v>609</v>
      </c>
      <c r="B370" s="143">
        <f>_xlfn.IFNA(INDEX(Table_INPUT_2D[X],MATCH(Table8[[#This Row],[UID]],Table_INPUT_2D[Unique ID],0)),"")</f>
        <v>5020.1499999999996</v>
      </c>
      <c r="C370" s="145">
        <f>_xlfn.IFNA(INDEX(Table_INPUT_2D[Y],MATCH(Table8[[#This Row],[UID]],Table_INPUT_2D[Unique ID],0)),"")</f>
        <v>9993.92</v>
      </c>
      <c r="D370" s="144">
        <f>_xlfn.IFNA(INDEX(Table_INPUT_2D[Z],MATCH(Table8[[#This Row],[UID]],Table_INPUT_2D[Unique ID],0)),"")</f>
        <v>198.75299999999999</v>
      </c>
      <c r="E370" s="146" t="s">
        <v>610</v>
      </c>
      <c r="G370" s="4" t="str">
        <f>IF($A$382 &lt;&gt; "",$A$382, "")</f>
        <v>MR9114</v>
      </c>
      <c r="H370" s="4">
        <f>IF($B$382 &lt;&gt; "",$B$382, "")</f>
        <v>5028.7960000000003</v>
      </c>
      <c r="I370" s="4">
        <f>IF($C$382 &lt;&gt; "",$C$382, "")</f>
        <v>10069.218999999999</v>
      </c>
      <c r="J370" s="4">
        <f>IF($D$382 &lt;&gt; "",$D$382, "")</f>
        <v>196.12200000000001</v>
      </c>
      <c r="K370" s="156">
        <f>AVERAGE($H$370,$H$371)</f>
        <v>5028.7965000000004</v>
      </c>
      <c r="L370" s="156">
        <f>AVERAGE($I$370,$I$371)</f>
        <v>10069.218999999999</v>
      </c>
      <c r="M370" s="156">
        <f>AVERAGE($J$370,$J$371)</f>
        <v>196.11850000000001</v>
      </c>
      <c r="N370" s="156"/>
      <c r="O370" s="158">
        <f>$O$365</f>
        <v>143.27018801652898</v>
      </c>
      <c r="P370" s="156"/>
    </row>
    <row r="371" spans="1:16" x14ac:dyDescent="0.2">
      <c r="A371" s="142" t="s">
        <v>612</v>
      </c>
      <c r="B371" s="143">
        <f>_xlfn.IFNA(INDEX(Table_INPUT_2D[X],MATCH(Table8[[#This Row],[UID]],Table_INPUT_2D[Unique ID],0)),"")</f>
        <v>5022.2830000000004</v>
      </c>
      <c r="C371" s="145">
        <f>_xlfn.IFNA(INDEX(Table_INPUT_2D[Y],MATCH(Table8[[#This Row],[UID]],Table_INPUT_2D[Unique ID],0)),"")</f>
        <v>10012.33</v>
      </c>
      <c r="D371" s="144">
        <f>_xlfn.IFNA(INDEX(Table_INPUT_2D[Z],MATCH(Table8[[#This Row],[UID]],Table_INPUT_2D[Unique ID],0)),"")</f>
        <v>197.905</v>
      </c>
      <c r="E371" s="146" t="s">
        <v>611</v>
      </c>
      <c r="G371" s="4" t="str">
        <f>IF($A$383 &lt;&gt; "",$A$383, "")</f>
        <v>MR9114</v>
      </c>
      <c r="H371" s="4">
        <f>IF($B$383 &lt;&gt; "",$B$383, "")</f>
        <v>5028.7969999999996</v>
      </c>
      <c r="I371" s="4">
        <f>IF($C$383 &lt;&gt; "",$C$383, "")</f>
        <v>10069.218999999999</v>
      </c>
      <c r="J371" s="4">
        <f>IF($D$383 &lt;&gt; "",$D$383, "")</f>
        <v>196.11500000000001</v>
      </c>
      <c r="K371" s="156"/>
      <c r="L371" s="156"/>
      <c r="M371" s="156"/>
      <c r="N371" s="156"/>
      <c r="O371" s="158"/>
      <c r="P371" s="156"/>
    </row>
    <row r="372" spans="1:16" x14ac:dyDescent="0.2">
      <c r="A372" s="142" t="s">
        <v>612</v>
      </c>
      <c r="B372" s="143">
        <f>_xlfn.IFNA(INDEX(Table_INPUT_2D[X],MATCH(Table8[[#This Row],[UID]],Table_INPUT_2D[Unique ID],0)),"")</f>
        <v>5022.2830000000004</v>
      </c>
      <c r="C372" s="145">
        <f>_xlfn.IFNA(INDEX(Table_INPUT_2D[Y],MATCH(Table8[[#This Row],[UID]],Table_INPUT_2D[Unique ID],0)),"")</f>
        <v>10012.33</v>
      </c>
      <c r="D372" s="144">
        <f>_xlfn.IFNA(INDEX(Table_INPUT_2D[Z],MATCH(Table8[[#This Row],[UID]],Table_INPUT_2D[Unique ID],0)),"")</f>
        <v>197.90299999999999</v>
      </c>
      <c r="E372" s="146" t="s">
        <v>613</v>
      </c>
      <c r="G372" s="4" t="str">
        <f>IF($A$384 &lt;&gt; "",$A$384, "")</f>
        <v>STATION</v>
      </c>
      <c r="H372" s="4"/>
      <c r="I372" s="4"/>
      <c r="J372" s="4"/>
      <c r="K372" s="156"/>
      <c r="L372" s="156"/>
      <c r="M372" s="156"/>
      <c r="N372" s="4"/>
      <c r="O372" s="4"/>
      <c r="P372" s="4"/>
    </row>
    <row r="373" spans="1:16" x14ac:dyDescent="0.2">
      <c r="A373" s="142" t="s">
        <v>615</v>
      </c>
      <c r="B373" s="143">
        <f>_xlfn.IFNA(INDEX(Table_INPUT_2D[X],MATCH(Table8[[#This Row],[UID]],Table_INPUT_2D[Unique ID],0)),"")</f>
        <v>5024.1610000000001</v>
      </c>
      <c r="C373" s="145">
        <f>_xlfn.IFNA(INDEX(Table_INPUT_2D[Y],MATCH(Table8[[#This Row],[UID]],Table_INPUT_2D[Unique ID],0)),"")</f>
        <v>10030.391</v>
      </c>
      <c r="D373" s="144">
        <f>_xlfn.IFNA(INDEX(Table_INPUT_2D[Z],MATCH(Table8[[#This Row],[UID]],Table_INPUT_2D[Unique ID],0)),"")</f>
        <v>197.19300000000001</v>
      </c>
      <c r="E373" s="146" t="s">
        <v>614</v>
      </c>
      <c r="G373" s="4" t="str">
        <f>IF($A$385 &lt;&gt; "",$A$385, "")</f>
        <v>MR9114</v>
      </c>
      <c r="H373" s="4">
        <f>IF($B$385 &lt;&gt; "",$B$385, "")</f>
        <v>4990.875</v>
      </c>
      <c r="I373" s="4">
        <f>IF($C$385 &lt;&gt; "",$C$385, "")</f>
        <v>9902.73</v>
      </c>
      <c r="J373" s="4">
        <f>IF($D$385 &lt;&gt; "",$D$385, "")</f>
        <v>200.994</v>
      </c>
      <c r="K373" s="156">
        <f>AVERAGE($H$373,$H$374)</f>
        <v>4990.8760000000002</v>
      </c>
      <c r="L373" s="156">
        <f>AVERAGE($I$373,$I$374)</f>
        <v>9902.7294999999995</v>
      </c>
      <c r="M373" s="156">
        <f>AVERAGE($J$373,$J$374)</f>
        <v>200.9965</v>
      </c>
      <c r="N373" s="156"/>
      <c r="O373" s="158">
        <f>$O$365</f>
        <v>143.27018801652898</v>
      </c>
      <c r="P373" s="156"/>
    </row>
    <row r="374" spans="1:16" x14ac:dyDescent="0.2">
      <c r="A374" s="142" t="s">
        <v>615</v>
      </c>
      <c r="B374" s="143">
        <f>_xlfn.IFNA(INDEX(Table_INPUT_2D[X],MATCH(Table8[[#This Row],[UID]],Table_INPUT_2D[Unique ID],0)),"")</f>
        <v>5024.16</v>
      </c>
      <c r="C374" s="145">
        <f>_xlfn.IFNA(INDEX(Table_INPUT_2D[Y],MATCH(Table8[[#This Row],[UID]],Table_INPUT_2D[Unique ID],0)),"")</f>
        <v>10030.391</v>
      </c>
      <c r="D374" s="144">
        <f>_xlfn.IFNA(INDEX(Table_INPUT_2D[Z],MATCH(Table8[[#This Row],[UID]],Table_INPUT_2D[Unique ID],0)),"")</f>
        <v>197.196</v>
      </c>
      <c r="E374" s="146" t="s">
        <v>616</v>
      </c>
      <c r="G374" s="4" t="str">
        <f>IF($A$386 &lt;&gt; "",$A$386, "")</f>
        <v>MR9114</v>
      </c>
      <c r="H374" s="4">
        <f>IF($B$386 &lt;&gt; "",$B$386, "")</f>
        <v>4990.8770000000004</v>
      </c>
      <c r="I374" s="4">
        <f>IF($C$386 &lt;&gt; "",$C$386, "")</f>
        <v>9902.7289999999994</v>
      </c>
      <c r="J374" s="4">
        <f>IF($D$386 &lt;&gt; "",$D$386, "")</f>
        <v>200.999</v>
      </c>
      <c r="K374" s="156"/>
      <c r="L374" s="156"/>
      <c r="M374" s="156"/>
      <c r="N374" s="156">
        <f>$M$375-$M$373</f>
        <v>-0.65600000000000591</v>
      </c>
      <c r="O374" s="158"/>
      <c r="P374" s="156">
        <f>SQRT(($K$375-$K$373)^2 +($L$375-$L$373)^2)</f>
        <v>21.586810984951136</v>
      </c>
    </row>
    <row r="375" spans="1:16" x14ac:dyDescent="0.2">
      <c r="A375" s="142" t="s">
        <v>618</v>
      </c>
      <c r="B375" s="143">
        <f>_xlfn.IFNA(INDEX(Table_INPUT_2D[X],MATCH(Table8[[#This Row],[UID]],Table_INPUT_2D[Unique ID],0)),"")</f>
        <v>5026.5739999999996</v>
      </c>
      <c r="C375" s="145">
        <f>_xlfn.IFNA(INDEX(Table_INPUT_2D[Y],MATCH(Table8[[#This Row],[UID]],Table_INPUT_2D[Unique ID],0)),"")</f>
        <v>10051.453</v>
      </c>
      <c r="D375" s="144">
        <f>_xlfn.IFNA(INDEX(Table_INPUT_2D[Z],MATCH(Table8[[#This Row],[UID]],Table_INPUT_2D[Unique ID],0)),"")</f>
        <v>196.60900000000001</v>
      </c>
      <c r="E375" s="146" t="s">
        <v>617</v>
      </c>
      <c r="G375" s="4" t="str">
        <f>IF($A$387 &lt;&gt; "",$A$387, "")</f>
        <v>MR9115</v>
      </c>
      <c r="H375" s="4">
        <f>IF($B$387 &lt;&gt; "",$B$387, "")</f>
        <v>4993.3249999999998</v>
      </c>
      <c r="I375" s="4">
        <f>IF($C$387 &lt;&gt; "",$C$387, "")</f>
        <v>9924.1769999999997</v>
      </c>
      <c r="J375" s="4">
        <f>IF($D$387 &lt;&gt; "",$D$387, "")</f>
        <v>200.33799999999999</v>
      </c>
      <c r="K375" s="156">
        <f>AVERAGE($H$375,$H$376)</f>
        <v>4993.3244999999997</v>
      </c>
      <c r="L375" s="156">
        <f>AVERAGE($I$375,$I$376)</f>
        <v>9924.1769999999997</v>
      </c>
      <c r="M375" s="156">
        <f>AVERAGE($J$375,$J$376)</f>
        <v>200.34049999999999</v>
      </c>
      <c r="N375" s="156"/>
      <c r="O375" s="158">
        <f>$O$373+($N$374)</f>
        <v>142.61418801652897</v>
      </c>
      <c r="P375" s="156"/>
    </row>
    <row r="376" spans="1:16" x14ac:dyDescent="0.2">
      <c r="A376" s="142" t="s">
        <v>618</v>
      </c>
      <c r="B376" s="143">
        <f>_xlfn.IFNA(INDEX(Table_INPUT_2D[X],MATCH(Table8[[#This Row],[UID]],Table_INPUT_2D[Unique ID],0)),"")</f>
        <v>5026.5739999999996</v>
      </c>
      <c r="C376" s="145">
        <f>_xlfn.IFNA(INDEX(Table_INPUT_2D[Y],MATCH(Table8[[#This Row],[UID]],Table_INPUT_2D[Unique ID],0)),"")</f>
        <v>10051.453</v>
      </c>
      <c r="D376" s="144">
        <f>_xlfn.IFNA(INDEX(Table_INPUT_2D[Z],MATCH(Table8[[#This Row],[UID]],Table_INPUT_2D[Unique ID],0)),"")</f>
        <v>196.60400000000001</v>
      </c>
      <c r="E376" s="146" t="s">
        <v>619</v>
      </c>
      <c r="G376" s="4" t="str">
        <f>IF($A$388 &lt;&gt; "",$A$388, "")</f>
        <v>MR9115</v>
      </c>
      <c r="H376" s="4">
        <f>IF($B$388 &lt;&gt; "",$B$388, "")</f>
        <v>4993.3239999999996</v>
      </c>
      <c r="I376" s="4">
        <f>IF($C$388 &lt;&gt; "",$C$388, "")</f>
        <v>9924.1769999999997</v>
      </c>
      <c r="J376" s="4">
        <f>IF($D$388 &lt;&gt; "",$D$388, "")</f>
        <v>200.34299999999999</v>
      </c>
      <c r="K376" s="156"/>
      <c r="L376" s="156"/>
      <c r="M376" s="156"/>
      <c r="N376" s="156">
        <f>$M$377-$M$375</f>
        <v>-0.68149999999999977</v>
      </c>
      <c r="O376" s="158"/>
      <c r="P376" s="156">
        <f>SQRT(($K$377-$K$375)^2 +($L$377-$L$375)^2)</f>
        <v>19.165991651882639</v>
      </c>
    </row>
    <row r="377" spans="1:16" x14ac:dyDescent="0.2">
      <c r="A377" s="142" t="s">
        <v>621</v>
      </c>
      <c r="B377" s="143">
        <f>_xlfn.IFNA(INDEX(Table_INPUT_2D[X],MATCH(Table8[[#This Row],[UID]],Table_INPUT_2D[Unique ID],0)),"")</f>
        <v>5028.7969999999996</v>
      </c>
      <c r="C377" s="145">
        <f>_xlfn.IFNA(INDEX(Table_INPUT_2D[Y],MATCH(Table8[[#This Row],[UID]],Table_INPUT_2D[Unique ID],0)),"")</f>
        <v>10069.218999999999</v>
      </c>
      <c r="D377" s="144">
        <f>_xlfn.IFNA(INDEX(Table_INPUT_2D[Z],MATCH(Table8[[#This Row],[UID]],Table_INPUT_2D[Unique ID],0)),"")</f>
        <v>196.11500000000001</v>
      </c>
      <c r="E377" s="146" t="s">
        <v>620</v>
      </c>
      <c r="G377" s="4" t="str">
        <f>IF($A$389 &lt;&gt; "",$A$389, "")</f>
        <v>MR9116</v>
      </c>
      <c r="H377" s="4">
        <f>IF($B$389 &lt;&gt; "",$B$389, "")</f>
        <v>4995.518</v>
      </c>
      <c r="I377" s="4">
        <f>IF($C$389 &lt;&gt; "",$C$389, "")</f>
        <v>9943.2170000000006</v>
      </c>
      <c r="J377" s="4">
        <f>IF($D$389 &lt;&gt; "",$D$389, "")</f>
        <v>199.661</v>
      </c>
      <c r="K377" s="156">
        <f>AVERAGE($H$377,$H$378)</f>
        <v>4995.5185000000001</v>
      </c>
      <c r="L377" s="156">
        <f>AVERAGE($I$377,$I$378)</f>
        <v>9943.2170000000006</v>
      </c>
      <c r="M377" s="156">
        <f>AVERAGE($J$377,$J$378)</f>
        <v>199.65899999999999</v>
      </c>
      <c r="N377" s="156"/>
      <c r="O377" s="158">
        <f>$O$375+($N$376)</f>
        <v>141.93268801652897</v>
      </c>
      <c r="P377" s="156"/>
    </row>
    <row r="378" spans="1:16" x14ac:dyDescent="0.2">
      <c r="A378" s="142" t="s">
        <v>621</v>
      </c>
      <c r="B378" s="143">
        <f>_xlfn.IFNA(INDEX(Table_INPUT_2D[X],MATCH(Table8[[#This Row],[UID]],Table_INPUT_2D[Unique ID],0)),"")</f>
        <v>5028.7960000000003</v>
      </c>
      <c r="C378" s="145">
        <f>_xlfn.IFNA(INDEX(Table_INPUT_2D[Y],MATCH(Table8[[#This Row],[UID]],Table_INPUT_2D[Unique ID],0)),"")</f>
        <v>10069.218999999999</v>
      </c>
      <c r="D378" s="144">
        <f>_xlfn.IFNA(INDEX(Table_INPUT_2D[Z],MATCH(Table8[[#This Row],[UID]],Table_INPUT_2D[Unique ID],0)),"")</f>
        <v>196.12299999999999</v>
      </c>
      <c r="E378" s="146" t="s">
        <v>622</v>
      </c>
      <c r="G378" s="4" t="str">
        <f>IF($A$390 &lt;&gt; "",$A$390, "")</f>
        <v>MR9116</v>
      </c>
      <c r="H378" s="4">
        <f>IF($B$390 &lt;&gt; "",$B$390, "")</f>
        <v>4995.5190000000002</v>
      </c>
      <c r="I378" s="4">
        <f>IF($C$390 &lt;&gt; "",$C$390, "")</f>
        <v>9943.2170000000006</v>
      </c>
      <c r="J378" s="4">
        <f>IF($D$390 &lt;&gt; "",$D$390, "")</f>
        <v>199.65700000000001</v>
      </c>
      <c r="K378" s="156"/>
      <c r="L378" s="156"/>
      <c r="M378" s="156"/>
      <c r="N378" s="156">
        <f>$M$379-$M$377</f>
        <v>-0.69149999999999068</v>
      </c>
      <c r="O378" s="158"/>
      <c r="P378" s="156">
        <f>SQRT(($K$379-$K$377)^2 +($L$379-$L$377)^2)</f>
        <v>21.729180955571511</v>
      </c>
    </row>
    <row r="379" spans="1:16" x14ac:dyDescent="0.2">
      <c r="A379" s="142" t="s">
        <v>21</v>
      </c>
      <c r="B379" s="143" t="str">
        <f>_xlfn.IFNA(INDEX(Table_INPUT_2D[X],MATCH(Table8[[#This Row],[UID]],Table_INPUT_2D[Unique ID],0)),"")</f>
        <v/>
      </c>
      <c r="C379" s="145" t="str">
        <f>_xlfn.IFNA(INDEX(Table_INPUT_2D[Y],MATCH(Table8[[#This Row],[UID]],Table_INPUT_2D[Unique ID],0)),"")</f>
        <v/>
      </c>
      <c r="D379" s="144" t="str">
        <f>_xlfn.IFNA(INDEX(Table_INPUT_2D[Z],MATCH(Table8[[#This Row],[UID]],Table_INPUT_2D[Unique ID],0)),"")</f>
        <v/>
      </c>
      <c r="E379" s="146"/>
      <c r="G379" s="4" t="str">
        <f>IF($A$391 &lt;&gt; "",$A$391, "")</f>
        <v>MR9117</v>
      </c>
      <c r="H379" s="4">
        <f>IF($B$391 &lt;&gt; "",$B$391, "")</f>
        <v>4997.7619999999997</v>
      </c>
      <c r="I379" s="4">
        <f>IF($C$391 &lt;&gt; "",$C$391, "")</f>
        <v>9964.83</v>
      </c>
      <c r="J379" s="4">
        <f>IF($D$391 &lt;&gt; "",$D$391, "")</f>
        <v>198.96600000000001</v>
      </c>
      <c r="K379" s="156">
        <f>AVERAGE($H$379,$H$380)</f>
        <v>4997.7624999999998</v>
      </c>
      <c r="L379" s="156">
        <f>AVERAGE($I$379,$I$380)</f>
        <v>9964.83</v>
      </c>
      <c r="M379" s="156">
        <f>AVERAGE($J$379,$J$380)</f>
        <v>198.9675</v>
      </c>
      <c r="N379" s="156"/>
      <c r="O379" s="158">
        <f>$O$377+($N$378)</f>
        <v>141.24118801652898</v>
      </c>
      <c r="P379" s="156"/>
    </row>
    <row r="380" spans="1:16" x14ac:dyDescent="0.2">
      <c r="A380" s="142" t="s">
        <v>587</v>
      </c>
      <c r="B380" s="143">
        <f>_xlfn.IFNA(INDEX(Table_INPUT_2D[X],MATCH(Table8[[#This Row],[UID]],Table_INPUT_2D[Unique ID],0)),"")</f>
        <v>5008.4570000000003</v>
      </c>
      <c r="C380" s="145">
        <f>_xlfn.IFNA(INDEX(Table_INPUT_2D[Y],MATCH(Table8[[#This Row],[UID]],Table_INPUT_2D[Unique ID],0)),"")</f>
        <v>9889.5220000000008</v>
      </c>
      <c r="D380" s="144">
        <f>_xlfn.IFNA(INDEX(Table_INPUT_2D[Z],MATCH(Table8[[#This Row],[UID]],Table_INPUT_2D[Unique ID],0)),"")</f>
        <v>203.02199999999999</v>
      </c>
      <c r="E380" s="146" t="s">
        <v>594</v>
      </c>
      <c r="G380" s="4" t="str">
        <f>IF($A$392 &lt;&gt; "",$A$392, "")</f>
        <v>MR9117</v>
      </c>
      <c r="H380" s="4">
        <f>IF($B$392 &lt;&gt; "",$B$392, "")</f>
        <v>4997.7629999999999</v>
      </c>
      <c r="I380" s="4">
        <f>IF($C$392 &lt;&gt; "",$C$392, "")</f>
        <v>9964.83</v>
      </c>
      <c r="J380" s="4">
        <f>IF($D$392 &lt;&gt; "",$D$392, "")</f>
        <v>198.96899999999999</v>
      </c>
      <c r="K380" s="156"/>
      <c r="L380" s="156"/>
      <c r="M380" s="156"/>
      <c r="N380" s="156">
        <f>$M$381-$M$379</f>
        <v>-0.41200000000000614</v>
      </c>
      <c r="O380" s="158"/>
      <c r="P380" s="156">
        <f>SQRT(($K$381-$K$379)^2 +($L$381-$L$379)^2)</f>
        <v>17.49616367235895</v>
      </c>
    </row>
    <row r="381" spans="1:16" x14ac:dyDescent="0.2">
      <c r="A381" s="142" t="s">
        <v>587</v>
      </c>
      <c r="B381" s="143">
        <f>_xlfn.IFNA(INDEX(Table_INPUT_2D[X],MATCH(Table8[[#This Row],[UID]],Table_INPUT_2D[Unique ID],0)),"")</f>
        <v>5008.4560000000001</v>
      </c>
      <c r="C381" s="145">
        <f>_xlfn.IFNA(INDEX(Table_INPUT_2D[Y],MATCH(Table8[[#This Row],[UID]],Table_INPUT_2D[Unique ID],0)),"")</f>
        <v>9889.5220000000008</v>
      </c>
      <c r="D381" s="144">
        <f>_xlfn.IFNA(INDEX(Table_INPUT_2D[Z],MATCH(Table8[[#This Row],[UID]],Table_INPUT_2D[Unique ID],0)),"")</f>
        <v>203.01300000000001</v>
      </c>
      <c r="E381" s="146" t="s">
        <v>595</v>
      </c>
      <c r="G381" s="4" t="str">
        <f>IF($A$393 &lt;&gt; "",$A$393, "")</f>
        <v>MR9118</v>
      </c>
      <c r="H381" s="4">
        <f>IF($B$393 &lt;&gt; "",$B$393, "")</f>
        <v>4999.6959999999999</v>
      </c>
      <c r="I381" s="4">
        <f>IF($C$393 &lt;&gt; "",$C$393, "")</f>
        <v>9982.2189999999991</v>
      </c>
      <c r="J381" s="4">
        <f>IF($D$393 &lt;&gt; "",$D$393, "")</f>
        <v>198.55600000000001</v>
      </c>
      <c r="K381" s="156">
        <f>AVERAGE($H$381,$H$382)</f>
        <v>4999.6959999999999</v>
      </c>
      <c r="L381" s="156">
        <f>AVERAGE($I$381,$I$382)</f>
        <v>9982.2189999999991</v>
      </c>
      <c r="M381" s="156">
        <f>AVERAGE($J$381,$J$382)</f>
        <v>198.55549999999999</v>
      </c>
      <c r="N381" s="156"/>
      <c r="O381" s="158">
        <f>$O$379+($N$380)</f>
        <v>140.82918801652897</v>
      </c>
      <c r="P381" s="156"/>
    </row>
    <row r="382" spans="1:16" x14ac:dyDescent="0.2">
      <c r="A382" s="142" t="s">
        <v>621</v>
      </c>
      <c r="B382" s="143">
        <f>_xlfn.IFNA(INDEX(Table_INPUT_2D[X],MATCH(Table8[[#This Row],[UID]],Table_INPUT_2D[Unique ID],0)),"")</f>
        <v>5028.7960000000003</v>
      </c>
      <c r="C382" s="145">
        <f>_xlfn.IFNA(INDEX(Table_INPUT_2D[Y],MATCH(Table8[[#This Row],[UID]],Table_INPUT_2D[Unique ID],0)),"")</f>
        <v>10069.218999999999</v>
      </c>
      <c r="D382" s="144">
        <f>_xlfn.IFNA(INDEX(Table_INPUT_2D[Z],MATCH(Table8[[#This Row],[UID]],Table_INPUT_2D[Unique ID],0)),"")</f>
        <v>196.12200000000001</v>
      </c>
      <c r="E382" s="146" t="s">
        <v>623</v>
      </c>
      <c r="G382" s="4" t="str">
        <f>IF($A$394 &lt;&gt; "",$A$394, "")</f>
        <v>MR9118</v>
      </c>
      <c r="H382" s="4">
        <f>IF($B$394 &lt;&gt; "",$B$394, "")</f>
        <v>4999.6959999999999</v>
      </c>
      <c r="I382" s="4">
        <f>IF($C$394 &lt;&gt; "",$C$394, "")</f>
        <v>9982.2189999999991</v>
      </c>
      <c r="J382" s="4">
        <f>IF($D$394 &lt;&gt; "",$D$394, "")</f>
        <v>198.55500000000001</v>
      </c>
      <c r="K382" s="156"/>
      <c r="L382" s="156"/>
      <c r="M382" s="156"/>
      <c r="N382" s="156">
        <f>$M$383-$M$381</f>
        <v>-0.48699999999999477</v>
      </c>
      <c r="O382" s="158"/>
      <c r="P382" s="156">
        <f>SQRT(($K$383-$K$381)^2 +($L$383-$L$381)^2)</f>
        <v>20.933333728769902</v>
      </c>
    </row>
    <row r="383" spans="1:16" x14ac:dyDescent="0.2">
      <c r="A383" s="142" t="s">
        <v>621</v>
      </c>
      <c r="B383" s="143">
        <f>_xlfn.IFNA(INDEX(Table_INPUT_2D[X],MATCH(Table8[[#This Row],[UID]],Table_INPUT_2D[Unique ID],0)),"")</f>
        <v>5028.7969999999996</v>
      </c>
      <c r="C383" s="145">
        <f>_xlfn.IFNA(INDEX(Table_INPUT_2D[Y],MATCH(Table8[[#This Row],[UID]],Table_INPUT_2D[Unique ID],0)),"")</f>
        <v>10069.218999999999</v>
      </c>
      <c r="D383" s="144">
        <f>_xlfn.IFNA(INDEX(Table_INPUT_2D[Z],MATCH(Table8[[#This Row],[UID]],Table_INPUT_2D[Unique ID],0)),"")</f>
        <v>196.11500000000001</v>
      </c>
      <c r="E383" s="146" t="s">
        <v>624</v>
      </c>
      <c r="G383" s="4" t="str">
        <f>IF($A$395 &lt;&gt; "",$A$395, "")</f>
        <v>MR9119</v>
      </c>
      <c r="H383" s="4">
        <f>IF($B$395 &lt;&gt; "",$B$395, "")</f>
        <v>5001.9650000000001</v>
      </c>
      <c r="I383" s="4">
        <f>IF($C$395 &lt;&gt; "",$C$395, "")</f>
        <v>10003.029</v>
      </c>
      <c r="J383" s="4">
        <f>IF($D$395 &lt;&gt; "",$D$395, "")</f>
        <v>198.06899999999999</v>
      </c>
      <c r="K383" s="156">
        <f>AVERAGE($H$383,$H$384)</f>
        <v>5001.9650000000001</v>
      </c>
      <c r="L383" s="156">
        <f>AVERAGE($I$383,$I$384)</f>
        <v>10003.029</v>
      </c>
      <c r="M383" s="156">
        <f>AVERAGE($J$383,$J$384)</f>
        <v>198.0685</v>
      </c>
      <c r="N383" s="156"/>
      <c r="O383" s="158">
        <f>$O$381+($N$382)</f>
        <v>140.34218801652898</v>
      </c>
      <c r="P383" s="156"/>
    </row>
    <row r="384" spans="1:16" x14ac:dyDescent="0.2">
      <c r="A384" s="142" t="s">
        <v>22</v>
      </c>
      <c r="B384" s="143" t="str">
        <f>_xlfn.IFNA(INDEX(Table_INPUT_2D[X],MATCH(Table8[[#This Row],[UID]],Table_INPUT_2D[Unique ID],0)),"")</f>
        <v/>
      </c>
      <c r="C384" s="145" t="str">
        <f>_xlfn.IFNA(INDEX(Table_INPUT_2D[Y],MATCH(Table8[[#This Row],[UID]],Table_INPUT_2D[Unique ID],0)),"")</f>
        <v/>
      </c>
      <c r="D384" s="144" t="str">
        <f>_xlfn.IFNA(INDEX(Table_INPUT_2D[Z],MATCH(Table8[[#This Row],[UID]],Table_INPUT_2D[Unique ID],0)),"")</f>
        <v/>
      </c>
      <c r="E384" s="146"/>
      <c r="G384" s="4" t="str">
        <f>IF($A$396 &lt;&gt; "",$A$396, "")</f>
        <v>MR9119</v>
      </c>
      <c r="H384" s="4">
        <f>IF($B$396 &lt;&gt; "",$B$396, "")</f>
        <v>5001.9650000000001</v>
      </c>
      <c r="I384" s="4">
        <f>IF($C$396 &lt;&gt; "",$C$396, "")</f>
        <v>10003.029</v>
      </c>
      <c r="J384" s="4">
        <f>IF($D$396 &lt;&gt; "",$D$396, "")</f>
        <v>198.06800000000001</v>
      </c>
      <c r="K384" s="156"/>
      <c r="L384" s="156"/>
      <c r="M384" s="156"/>
      <c r="N384" s="156">
        <f>$M$385-$M$383</f>
        <v>-0.30049999999999955</v>
      </c>
      <c r="O384" s="158"/>
      <c r="P384" s="156">
        <f>SQRT(($K$385-$K$383)^2 +($L$385-$L$383)^2)</f>
        <v>20.477958351603757</v>
      </c>
    </row>
    <row r="385" spans="1:16" x14ac:dyDescent="0.2">
      <c r="A385" s="142" t="s">
        <v>621</v>
      </c>
      <c r="B385" s="143">
        <f>_xlfn.IFNA(INDEX(Table_INPUT_2D[X],MATCH(Table8[[#This Row],[UID]],Table_INPUT_2D[Unique ID],0)),"")</f>
        <v>4990.875</v>
      </c>
      <c r="C385" s="145">
        <f>_xlfn.IFNA(INDEX(Table_INPUT_2D[Y],MATCH(Table8[[#This Row],[UID]],Table_INPUT_2D[Unique ID],0)),"")</f>
        <v>9902.73</v>
      </c>
      <c r="D385" s="144">
        <f>_xlfn.IFNA(INDEX(Table_INPUT_2D[Z],MATCH(Table8[[#This Row],[UID]],Table_INPUT_2D[Unique ID],0)),"")</f>
        <v>200.994</v>
      </c>
      <c r="E385" s="146" t="s">
        <v>626</v>
      </c>
      <c r="G385" s="4" t="str">
        <f>IF($A$397 &lt;&gt; "",$A$397, "")</f>
        <v>MR9120</v>
      </c>
      <c r="H385" s="4">
        <f>IF($B$397 &lt;&gt; "",$B$397, "")</f>
        <v>5003.9030000000002</v>
      </c>
      <c r="I385" s="4">
        <f>IF($C$397 &lt;&gt; "",$C$397, "")</f>
        <v>10023.415000000001</v>
      </c>
      <c r="J385" s="4">
        <f>IF($D$397 &lt;&gt; "",$D$397, "")</f>
        <v>197.76900000000001</v>
      </c>
      <c r="K385" s="156">
        <f>AVERAGE($H$385,$H$386)</f>
        <v>5003.9035000000003</v>
      </c>
      <c r="L385" s="156">
        <f>AVERAGE($I$385,$I$386)</f>
        <v>10023.415000000001</v>
      </c>
      <c r="M385" s="156">
        <f>AVERAGE($J$385,$J$386)</f>
        <v>197.768</v>
      </c>
      <c r="N385" s="156"/>
      <c r="O385" s="158">
        <f>$O$383+($N$384)</f>
        <v>140.04168801652898</v>
      </c>
      <c r="P385" s="156"/>
    </row>
    <row r="386" spans="1:16" x14ac:dyDescent="0.2">
      <c r="A386" s="142" t="s">
        <v>621</v>
      </c>
      <c r="B386" s="143">
        <f>_xlfn.IFNA(INDEX(Table_INPUT_2D[X],MATCH(Table8[[#This Row],[UID]],Table_INPUT_2D[Unique ID],0)),"")</f>
        <v>4990.8770000000004</v>
      </c>
      <c r="C386" s="145">
        <f>_xlfn.IFNA(INDEX(Table_INPUT_2D[Y],MATCH(Table8[[#This Row],[UID]],Table_INPUT_2D[Unique ID],0)),"")</f>
        <v>9902.7289999999994</v>
      </c>
      <c r="D386" s="144">
        <f>_xlfn.IFNA(INDEX(Table_INPUT_2D[Z],MATCH(Table8[[#This Row],[UID]],Table_INPUT_2D[Unique ID],0)),"")</f>
        <v>200.999</v>
      </c>
      <c r="E386" s="146" t="s">
        <v>627</v>
      </c>
      <c r="G386" s="4" t="str">
        <f>IF($A$398 &lt;&gt; "",$A$398, "")</f>
        <v>MR9120</v>
      </c>
      <c r="H386" s="4">
        <f>IF($B$398 &lt;&gt; "",$B$398, "")</f>
        <v>5003.9040000000005</v>
      </c>
      <c r="I386" s="4">
        <f>IF($C$398 &lt;&gt; "",$C$398, "")</f>
        <v>10023.415000000001</v>
      </c>
      <c r="J386" s="4">
        <f>IF($D$398 &lt;&gt; "",$D$398, "")</f>
        <v>197.767</v>
      </c>
      <c r="K386" s="156"/>
      <c r="L386" s="156"/>
      <c r="M386" s="156"/>
      <c r="N386" s="156">
        <f>$M$387-$M$385</f>
        <v>-0.15350000000000819</v>
      </c>
      <c r="O386" s="158"/>
      <c r="P386" s="156">
        <f>SQRT(($K$387-$K$385)^2 +($L$387-$L$385)^2)</f>
        <v>20.414319545356516</v>
      </c>
    </row>
    <row r="387" spans="1:16" x14ac:dyDescent="0.2">
      <c r="A387" s="142" t="s">
        <v>631</v>
      </c>
      <c r="B387" s="143">
        <f>_xlfn.IFNA(INDEX(Table_INPUT_2D[X],MATCH(Table8[[#This Row],[UID]],Table_INPUT_2D[Unique ID],0)),"")</f>
        <v>4993.3249999999998</v>
      </c>
      <c r="C387" s="145">
        <f>_xlfn.IFNA(INDEX(Table_INPUT_2D[Y],MATCH(Table8[[#This Row],[UID]],Table_INPUT_2D[Unique ID],0)),"")</f>
        <v>9924.1769999999997</v>
      </c>
      <c r="D387" s="144">
        <f>_xlfn.IFNA(INDEX(Table_INPUT_2D[Z],MATCH(Table8[[#This Row],[UID]],Table_INPUT_2D[Unique ID],0)),"")</f>
        <v>200.33799999999999</v>
      </c>
      <c r="E387" s="146" t="s">
        <v>630</v>
      </c>
      <c r="G387" s="4" t="str">
        <f>IF($A$399 &lt;&gt; "",$A$399, "")</f>
        <v>MR9121</v>
      </c>
      <c r="H387" s="4">
        <f>IF($B$399 &lt;&gt; "",$B$399, "")</f>
        <v>5005.848</v>
      </c>
      <c r="I387" s="4">
        <f>IF($C$399 &lt;&gt; "",$C$399, "")</f>
        <v>10043.736000000001</v>
      </c>
      <c r="J387" s="4">
        <f>IF($D$399 &lt;&gt; "",$D$399, "")</f>
        <v>197.61199999999999</v>
      </c>
      <c r="K387" s="156">
        <f>AVERAGE($H$387,$H$388)</f>
        <v>5005.848</v>
      </c>
      <c r="L387" s="156">
        <f>AVERAGE($I$387,$I$388)</f>
        <v>10043.736499999999</v>
      </c>
      <c r="M387" s="156">
        <f>AVERAGE($J$387,$J$388)</f>
        <v>197.61449999999999</v>
      </c>
      <c r="N387" s="156"/>
      <c r="O387" s="158">
        <f>$O$385+($N$386)</f>
        <v>139.88818801652897</v>
      </c>
      <c r="P387" s="156"/>
    </row>
    <row r="388" spans="1:16" x14ac:dyDescent="0.2">
      <c r="A388" s="142" t="s">
        <v>631</v>
      </c>
      <c r="B388" s="143">
        <f>_xlfn.IFNA(INDEX(Table_INPUT_2D[X],MATCH(Table8[[#This Row],[UID]],Table_INPUT_2D[Unique ID],0)),"")</f>
        <v>4993.3239999999996</v>
      </c>
      <c r="C388" s="145">
        <f>_xlfn.IFNA(INDEX(Table_INPUT_2D[Y],MATCH(Table8[[#This Row],[UID]],Table_INPUT_2D[Unique ID],0)),"")</f>
        <v>9924.1769999999997</v>
      </c>
      <c r="D388" s="144">
        <f>_xlfn.IFNA(INDEX(Table_INPUT_2D[Z],MATCH(Table8[[#This Row],[UID]],Table_INPUT_2D[Unique ID],0)),"")</f>
        <v>200.34299999999999</v>
      </c>
      <c r="E388" s="146" t="s">
        <v>632</v>
      </c>
      <c r="G388" s="4" t="str">
        <f>IF($A$400 &lt;&gt; "",$A$400, "")</f>
        <v>MR9121</v>
      </c>
      <c r="H388" s="4">
        <f>IF($B$400 &lt;&gt; "",$B$400, "")</f>
        <v>5005.848</v>
      </c>
      <c r="I388" s="4">
        <f>IF($C$400 &lt;&gt; "",$C$400, "")</f>
        <v>10043.736999999999</v>
      </c>
      <c r="J388" s="4">
        <f>IF($D$400 &lt;&gt; "",$D$400, "")</f>
        <v>197.61699999999999</v>
      </c>
      <c r="K388" s="156"/>
      <c r="L388" s="156"/>
      <c r="M388" s="156"/>
      <c r="N388" s="156">
        <f>$M$389-$M$387</f>
        <v>-3.0499999999989313E-2</v>
      </c>
      <c r="O388" s="158"/>
      <c r="P388" s="156">
        <f>SQRT(($K$389-$K$387)^2 +($L$389-$L$387)^2)</f>
        <v>20.281552171864018</v>
      </c>
    </row>
    <row r="389" spans="1:16" x14ac:dyDescent="0.2">
      <c r="A389" s="142" t="s">
        <v>634</v>
      </c>
      <c r="B389" s="143">
        <f>_xlfn.IFNA(INDEX(Table_INPUT_2D[X],MATCH(Table8[[#This Row],[UID]],Table_INPUT_2D[Unique ID],0)),"")</f>
        <v>4995.518</v>
      </c>
      <c r="C389" s="145">
        <f>_xlfn.IFNA(INDEX(Table_INPUT_2D[Y],MATCH(Table8[[#This Row],[UID]],Table_INPUT_2D[Unique ID],0)),"")</f>
        <v>9943.2170000000006</v>
      </c>
      <c r="D389" s="144">
        <f>_xlfn.IFNA(INDEX(Table_INPUT_2D[Z],MATCH(Table8[[#This Row],[UID]],Table_INPUT_2D[Unique ID],0)),"")</f>
        <v>199.661</v>
      </c>
      <c r="E389" s="146" t="s">
        <v>633</v>
      </c>
      <c r="G389" s="4" t="str">
        <f>IF($A$401 &lt;&gt; "",$A$401, "")</f>
        <v>MR9122</v>
      </c>
      <c r="H389" s="4">
        <f>IF($B$401 &lt;&gt; "",$B$401, "")</f>
        <v>5007.7460000000001</v>
      </c>
      <c r="I389" s="4">
        <f>IF($C$401 &lt;&gt; "",$C$401, "")</f>
        <v>10063.929</v>
      </c>
      <c r="J389" s="4">
        <f>IF($D$401 &lt;&gt; "",$D$401, "")</f>
        <v>197.58600000000001</v>
      </c>
      <c r="K389" s="156">
        <f>AVERAGE($H$389,$H$390)</f>
        <v>5007.7465000000002</v>
      </c>
      <c r="L389" s="156">
        <f>AVERAGE($I$389,$I$390)</f>
        <v>10063.929</v>
      </c>
      <c r="M389" s="156">
        <f>AVERAGE($J$389,$J$390)</f>
        <v>197.584</v>
      </c>
      <c r="N389" s="156"/>
      <c r="O389" s="158">
        <f>$O$387+($N$388)</f>
        <v>139.85768801652898</v>
      </c>
      <c r="P389" s="156"/>
    </row>
    <row r="390" spans="1:16" x14ac:dyDescent="0.2">
      <c r="A390" s="142" t="s">
        <v>634</v>
      </c>
      <c r="B390" s="143">
        <f>_xlfn.IFNA(INDEX(Table_INPUT_2D[X],MATCH(Table8[[#This Row],[UID]],Table_INPUT_2D[Unique ID],0)),"")</f>
        <v>4995.5190000000002</v>
      </c>
      <c r="C390" s="145">
        <f>_xlfn.IFNA(INDEX(Table_INPUT_2D[Y],MATCH(Table8[[#This Row],[UID]],Table_INPUT_2D[Unique ID],0)),"")</f>
        <v>9943.2170000000006</v>
      </c>
      <c r="D390" s="144">
        <f>_xlfn.IFNA(INDEX(Table_INPUT_2D[Z],MATCH(Table8[[#This Row],[UID]],Table_INPUT_2D[Unique ID],0)),"")</f>
        <v>199.65700000000001</v>
      </c>
      <c r="E390" s="146" t="s">
        <v>635</v>
      </c>
      <c r="G390" s="4" t="str">
        <f>IF($A$402 &lt;&gt; "",$A$402, "")</f>
        <v>MR9122</v>
      </c>
      <c r="H390" s="4">
        <f>IF($B$402 &lt;&gt; "",$B$402, "")</f>
        <v>5007.7470000000003</v>
      </c>
      <c r="I390" s="4">
        <f>IF($C$402 &lt;&gt; "",$C$402, "")</f>
        <v>10063.929</v>
      </c>
      <c r="J390" s="4">
        <f>IF($D$402 &lt;&gt; "",$D$402, "")</f>
        <v>197.58199999999999</v>
      </c>
      <c r="K390" s="156"/>
      <c r="L390" s="156"/>
      <c r="M390" s="156"/>
      <c r="N390" s="156">
        <f>$M$391-$M$389</f>
        <v>-0.62000000000000455</v>
      </c>
      <c r="O390" s="158"/>
      <c r="P390" s="156">
        <f>SQRT(($K$391-$K$389)^2 +($L$391-$L$389)^2)</f>
        <v>20.476226068297045</v>
      </c>
    </row>
    <row r="391" spans="1:16" x14ac:dyDescent="0.2">
      <c r="A391" s="142" t="s">
        <v>637</v>
      </c>
      <c r="B391" s="143">
        <f>_xlfn.IFNA(INDEX(Table_INPUT_2D[X],MATCH(Table8[[#This Row],[UID]],Table_INPUT_2D[Unique ID],0)),"")</f>
        <v>4997.7619999999997</v>
      </c>
      <c r="C391" s="145">
        <f>_xlfn.IFNA(INDEX(Table_INPUT_2D[Y],MATCH(Table8[[#This Row],[UID]],Table_INPUT_2D[Unique ID],0)),"")</f>
        <v>9964.83</v>
      </c>
      <c r="D391" s="144">
        <f>_xlfn.IFNA(INDEX(Table_INPUT_2D[Z],MATCH(Table8[[#This Row],[UID]],Table_INPUT_2D[Unique ID],0)),"")</f>
        <v>198.96600000000001</v>
      </c>
      <c r="E391" s="146" t="s">
        <v>636</v>
      </c>
      <c r="G391" s="4" t="str">
        <f>IF($A$403 &lt;&gt; "",$A$403, "")</f>
        <v>MR9123</v>
      </c>
      <c r="H391" s="4">
        <f>IF($B$403 &lt;&gt; "",$B$403, "")</f>
        <v>5013.3419999999996</v>
      </c>
      <c r="I391" s="4">
        <f>IF($C$403 &lt;&gt; "",$C$403, "")</f>
        <v>10083.626</v>
      </c>
      <c r="J391" s="4">
        <f>IF($D$403 &lt;&gt; "",$D$403, "")</f>
        <v>196.96</v>
      </c>
      <c r="K391" s="156">
        <f>AVERAGE($H$391,$H$392)</f>
        <v>5013.3415000000005</v>
      </c>
      <c r="L391" s="156">
        <f>AVERAGE($I$391,$I$392)</f>
        <v>10083.626</v>
      </c>
      <c r="M391" s="156">
        <f>AVERAGE($J$391,$J$392)</f>
        <v>196.964</v>
      </c>
      <c r="N391" s="156"/>
      <c r="O391" s="158">
        <f>$O$389+($N$390)</f>
        <v>139.23768801652898</v>
      </c>
      <c r="P391" s="156"/>
    </row>
    <row r="392" spans="1:16" x14ac:dyDescent="0.2">
      <c r="A392" s="142" t="s">
        <v>637</v>
      </c>
      <c r="B392" s="143">
        <f>_xlfn.IFNA(INDEX(Table_INPUT_2D[X],MATCH(Table8[[#This Row],[UID]],Table_INPUT_2D[Unique ID],0)),"")</f>
        <v>4997.7629999999999</v>
      </c>
      <c r="C392" s="145">
        <f>_xlfn.IFNA(INDEX(Table_INPUT_2D[Y],MATCH(Table8[[#This Row],[UID]],Table_INPUT_2D[Unique ID],0)),"")</f>
        <v>9964.83</v>
      </c>
      <c r="D392" s="144">
        <f>_xlfn.IFNA(INDEX(Table_INPUT_2D[Z],MATCH(Table8[[#This Row],[UID]],Table_INPUT_2D[Unique ID],0)),"")</f>
        <v>198.96899999999999</v>
      </c>
      <c r="E392" s="146" t="s">
        <v>638</v>
      </c>
      <c r="G392" s="4" t="str">
        <f>IF($A$404 &lt;&gt; "",$A$404, "")</f>
        <v>MR9123</v>
      </c>
      <c r="H392" s="4">
        <f>IF($B$404 &lt;&gt; "",$B$404, "")</f>
        <v>5013.3410000000003</v>
      </c>
      <c r="I392" s="4">
        <f>IF($C$404 &lt;&gt; "",$C$404, "")</f>
        <v>10083.626</v>
      </c>
      <c r="J392" s="4">
        <f>IF($D$404 &lt;&gt; "",$D$404, "")</f>
        <v>196.96799999999999</v>
      </c>
      <c r="K392" s="156"/>
      <c r="L392" s="156"/>
      <c r="M392" s="156"/>
      <c r="N392" s="156">
        <f>$M$393-$M$391</f>
        <v>3.4499999999979991E-2</v>
      </c>
      <c r="O392" s="158"/>
      <c r="P392" s="156">
        <f>SQRT(($K$393-$K$391)^2 +($L$393-$L$391)^2)</f>
        <v>31.221405173374354</v>
      </c>
    </row>
    <row r="393" spans="1:16" x14ac:dyDescent="0.2">
      <c r="A393" s="142" t="s">
        <v>640</v>
      </c>
      <c r="B393" s="143">
        <f>_xlfn.IFNA(INDEX(Table_INPUT_2D[X],MATCH(Table8[[#This Row],[UID]],Table_INPUT_2D[Unique ID],0)),"")</f>
        <v>4999.6959999999999</v>
      </c>
      <c r="C393" s="145">
        <f>_xlfn.IFNA(INDEX(Table_INPUT_2D[Y],MATCH(Table8[[#This Row],[UID]],Table_INPUT_2D[Unique ID],0)),"")</f>
        <v>9982.2189999999991</v>
      </c>
      <c r="D393" s="144">
        <f>_xlfn.IFNA(INDEX(Table_INPUT_2D[Z],MATCH(Table8[[#This Row],[UID]],Table_INPUT_2D[Unique ID],0)),"")</f>
        <v>198.55600000000001</v>
      </c>
      <c r="E393" s="146" t="s">
        <v>639</v>
      </c>
      <c r="G393" s="4" t="str">
        <f>IF($A$405 &lt;&gt; "",$A$405, "")</f>
        <v>MR9124</v>
      </c>
      <c r="H393" s="4">
        <f>IF($B$405 &lt;&gt; "",$B$405, "")</f>
        <v>5006.4250000000002</v>
      </c>
      <c r="I393" s="4">
        <f>IF($C$405 &lt;&gt; "",$C$405, "")</f>
        <v>10114.072</v>
      </c>
      <c r="J393" s="4">
        <f>IF($D$405 &lt;&gt; "",$D$405, "")</f>
        <v>197.00399999999999</v>
      </c>
      <c r="K393" s="156">
        <f>AVERAGE($H$393,$H$394)</f>
        <v>5006.4264999999996</v>
      </c>
      <c r="L393" s="156">
        <f>AVERAGE($I$393,$I$394)</f>
        <v>10114.072</v>
      </c>
      <c r="M393" s="156">
        <f>AVERAGE($J$393,$J$394)</f>
        <v>196.99849999999998</v>
      </c>
      <c r="N393" s="156"/>
      <c r="O393" s="158">
        <f>$O$391+($N$392)</f>
        <v>139.27218801652896</v>
      </c>
      <c r="P393" s="156"/>
    </row>
    <row r="394" spans="1:16" x14ac:dyDescent="0.2">
      <c r="A394" s="142" t="s">
        <v>640</v>
      </c>
      <c r="B394" s="143">
        <f>_xlfn.IFNA(INDEX(Table_INPUT_2D[X],MATCH(Table8[[#This Row],[UID]],Table_INPUT_2D[Unique ID],0)),"")</f>
        <v>4999.6959999999999</v>
      </c>
      <c r="C394" s="145">
        <f>_xlfn.IFNA(INDEX(Table_INPUT_2D[Y],MATCH(Table8[[#This Row],[UID]],Table_INPUT_2D[Unique ID],0)),"")</f>
        <v>9982.2189999999991</v>
      </c>
      <c r="D394" s="144">
        <f>_xlfn.IFNA(INDEX(Table_INPUT_2D[Z],MATCH(Table8[[#This Row],[UID]],Table_INPUT_2D[Unique ID],0)),"")</f>
        <v>198.55500000000001</v>
      </c>
      <c r="E394" s="146" t="s">
        <v>641</v>
      </c>
      <c r="G394" s="4" t="str">
        <f>IF($A$406 &lt;&gt; "",$A$406, "")</f>
        <v>MR9124</v>
      </c>
      <c r="H394" s="4">
        <f>IF($B$406 &lt;&gt; "",$B$406, "")</f>
        <v>5006.4279999999999</v>
      </c>
      <c r="I394" s="4">
        <f>IF($C$406 &lt;&gt; "",$C$406, "")</f>
        <v>10114.072</v>
      </c>
      <c r="J394" s="4">
        <f>IF($D$406 &lt;&gt; "",$D$406, "")</f>
        <v>196.99299999999999</v>
      </c>
      <c r="K394" s="156"/>
      <c r="L394" s="156"/>
      <c r="M394" s="156"/>
      <c r="N394" s="156"/>
      <c r="O394" s="158"/>
      <c r="P394" s="156"/>
    </row>
    <row r="395" spans="1:16" x14ac:dyDescent="0.2">
      <c r="A395" s="142" t="s">
        <v>643</v>
      </c>
      <c r="B395" s="143">
        <f>_xlfn.IFNA(INDEX(Table_INPUT_2D[X],MATCH(Table8[[#This Row],[UID]],Table_INPUT_2D[Unique ID],0)),"")</f>
        <v>5001.9650000000001</v>
      </c>
      <c r="C395" s="145">
        <f>_xlfn.IFNA(INDEX(Table_INPUT_2D[Y],MATCH(Table8[[#This Row],[UID]],Table_INPUT_2D[Unique ID],0)),"")</f>
        <v>10003.029</v>
      </c>
      <c r="D395" s="144">
        <f>_xlfn.IFNA(INDEX(Table_INPUT_2D[Z],MATCH(Table8[[#This Row],[UID]],Table_INPUT_2D[Unique ID],0)),"")</f>
        <v>198.06899999999999</v>
      </c>
      <c r="E395" s="146" t="s">
        <v>642</v>
      </c>
      <c r="G395" s="4" t="str">
        <f>IF($A$407 &lt;&gt; "",$A$407, "")</f>
        <v>CLOSE</v>
      </c>
      <c r="H395" s="4" t="str">
        <f>IF($B$407 &lt;&gt; "",$B$407, "")</f>
        <v/>
      </c>
      <c r="I395" s="4" t="str">
        <f>IF($C$407 &lt;&gt; "",$C$407, "")</f>
        <v/>
      </c>
      <c r="J395" s="4" t="str">
        <f>IF($D$407 &lt;&gt; "",$D$407, "")</f>
        <v/>
      </c>
      <c r="K395" s="156"/>
      <c r="L395" s="156"/>
      <c r="M395" s="156"/>
      <c r="N395" s="156"/>
      <c r="O395" s="158"/>
      <c r="P395" s="156"/>
    </row>
    <row r="396" spans="1:16" x14ac:dyDescent="0.2">
      <c r="A396" s="142" t="s">
        <v>643</v>
      </c>
      <c r="B396" s="143">
        <f>_xlfn.IFNA(INDEX(Table_INPUT_2D[X],MATCH(Table8[[#This Row],[UID]],Table_INPUT_2D[Unique ID],0)),"")</f>
        <v>5001.9650000000001</v>
      </c>
      <c r="C396" s="145">
        <f>_xlfn.IFNA(INDEX(Table_INPUT_2D[Y],MATCH(Table8[[#This Row],[UID]],Table_INPUT_2D[Unique ID],0)),"")</f>
        <v>10003.029</v>
      </c>
      <c r="D396" s="144">
        <f>_xlfn.IFNA(INDEX(Table_INPUT_2D[Z],MATCH(Table8[[#This Row],[UID]],Table_INPUT_2D[Unique ID],0)),"")</f>
        <v>198.06800000000001</v>
      </c>
      <c r="E396" s="146" t="s">
        <v>644</v>
      </c>
      <c r="G396" s="4" t="str">
        <f>IF($A$408 &lt;&gt; "",$A$408, "")</f>
        <v>MR9114</v>
      </c>
      <c r="H396" s="4">
        <f>IF($B$408 &lt;&gt; "",$B$408, "")</f>
        <v>4990.8789999999999</v>
      </c>
      <c r="I396" s="4">
        <f>IF($C$408 &lt;&gt; "",$C$408, "")</f>
        <v>9902.7289999999994</v>
      </c>
      <c r="J396" s="4">
        <f>IF($D$408 &lt;&gt; "",$D$408, "")</f>
        <v>201.00200000000001</v>
      </c>
      <c r="K396" s="156">
        <f>AVERAGE($H$396,$H$397)</f>
        <v>4990.8784999999998</v>
      </c>
      <c r="L396" s="156">
        <f>AVERAGE($I$396,$I$397)</f>
        <v>9902.7289999999994</v>
      </c>
      <c r="M396" s="156">
        <f>AVERAGE($J$396,$J$397)</f>
        <v>200.99799999999999</v>
      </c>
      <c r="N396" s="156"/>
      <c r="O396" s="158">
        <f>$O$398+(-$N$397)</f>
        <v>143.27168801652894</v>
      </c>
      <c r="P396" s="156"/>
    </row>
    <row r="397" spans="1:16" x14ac:dyDescent="0.2">
      <c r="A397" s="142" t="s">
        <v>646</v>
      </c>
      <c r="B397" s="143">
        <f>_xlfn.IFNA(INDEX(Table_INPUT_2D[X],MATCH(Table8[[#This Row],[UID]],Table_INPUT_2D[Unique ID],0)),"")</f>
        <v>5003.9030000000002</v>
      </c>
      <c r="C397" s="145">
        <f>_xlfn.IFNA(INDEX(Table_INPUT_2D[Y],MATCH(Table8[[#This Row],[UID]],Table_INPUT_2D[Unique ID],0)),"")</f>
        <v>10023.415000000001</v>
      </c>
      <c r="D397" s="144">
        <f>_xlfn.IFNA(INDEX(Table_INPUT_2D[Z],MATCH(Table8[[#This Row],[UID]],Table_INPUT_2D[Unique ID],0)),"")</f>
        <v>197.76900000000001</v>
      </c>
      <c r="E397" s="146" t="s">
        <v>645</v>
      </c>
      <c r="G397" s="4" t="str">
        <f>IF($A$409 &lt;&gt; "",$A$409, "")</f>
        <v>MR9114</v>
      </c>
      <c r="H397" s="4">
        <f>IF($B$409 &lt;&gt; "",$B$409, "")</f>
        <v>4990.8779999999997</v>
      </c>
      <c r="I397" s="4">
        <f>IF($C$409 &lt;&gt; "",$C$409, "")</f>
        <v>9902.7289999999994</v>
      </c>
      <c r="J397" s="4">
        <f>IF($D$409 &lt;&gt; "",$D$409, "")</f>
        <v>200.994</v>
      </c>
      <c r="K397" s="156"/>
      <c r="L397" s="156"/>
      <c r="M397" s="156"/>
      <c r="N397" s="156">
        <f>$M$398-$M$396</f>
        <v>-3.9994999999999834</v>
      </c>
      <c r="O397" s="158"/>
      <c r="P397" s="156">
        <f>SQRT(($K$398-$K$396)^2 +($L$398-$L$396)^2)</f>
        <v>211.91421625270993</v>
      </c>
    </row>
    <row r="398" spans="1:16" x14ac:dyDescent="0.2">
      <c r="A398" s="142" t="s">
        <v>646</v>
      </c>
      <c r="B398" s="143">
        <f>_xlfn.IFNA(INDEX(Table_INPUT_2D[X],MATCH(Table8[[#This Row],[UID]],Table_INPUT_2D[Unique ID],0)),"")</f>
        <v>5003.9040000000005</v>
      </c>
      <c r="C398" s="145">
        <f>_xlfn.IFNA(INDEX(Table_INPUT_2D[Y],MATCH(Table8[[#This Row],[UID]],Table_INPUT_2D[Unique ID],0)),"")</f>
        <v>10023.415000000001</v>
      </c>
      <c r="D398" s="144">
        <f>_xlfn.IFNA(INDEX(Table_INPUT_2D[Z],MATCH(Table8[[#This Row],[UID]],Table_INPUT_2D[Unique ID],0)),"")</f>
        <v>197.767</v>
      </c>
      <c r="E398" s="146" t="s">
        <v>647</v>
      </c>
      <c r="G398" s="4" t="str">
        <f>IF($A$410 &lt;&gt; "",$A$410, "")</f>
        <v>MR9124</v>
      </c>
      <c r="H398" s="4">
        <f>IF($B$410 &lt;&gt; "",$B$410, "")</f>
        <v>5006.43</v>
      </c>
      <c r="I398" s="4">
        <f>IF($C$410 &lt;&gt; "",$C$410, "")</f>
        <v>10114.072</v>
      </c>
      <c r="J398" s="4">
        <f>IF($D$410 &lt;&gt; "",$D$410, "")</f>
        <v>196.99100000000001</v>
      </c>
      <c r="K398" s="156">
        <f>AVERAGE($H$398,$H$399)</f>
        <v>5006.4274999999998</v>
      </c>
      <c r="L398" s="156">
        <f>AVERAGE($I$398,$I$399)</f>
        <v>10114.072</v>
      </c>
      <c r="M398" s="156">
        <f>AVERAGE($J$398,$J$399)</f>
        <v>196.99850000000001</v>
      </c>
      <c r="N398" s="156"/>
      <c r="O398" s="158">
        <f>$O$393</f>
        <v>139.27218801652896</v>
      </c>
      <c r="P398" s="156"/>
    </row>
    <row r="399" spans="1:16" x14ac:dyDescent="0.2">
      <c r="A399" s="142" t="s">
        <v>649</v>
      </c>
      <c r="B399" s="143">
        <f>_xlfn.IFNA(INDEX(Table_INPUT_2D[X],MATCH(Table8[[#This Row],[UID]],Table_INPUT_2D[Unique ID],0)),"")</f>
        <v>5005.848</v>
      </c>
      <c r="C399" s="145">
        <f>_xlfn.IFNA(INDEX(Table_INPUT_2D[Y],MATCH(Table8[[#This Row],[UID]],Table_INPUT_2D[Unique ID],0)),"")</f>
        <v>10043.736000000001</v>
      </c>
      <c r="D399" s="144">
        <f>_xlfn.IFNA(INDEX(Table_INPUT_2D[Z],MATCH(Table8[[#This Row],[UID]],Table_INPUT_2D[Unique ID],0)),"")</f>
        <v>197.61199999999999</v>
      </c>
      <c r="E399" s="146" t="s">
        <v>648</v>
      </c>
      <c r="G399" s="4" t="str">
        <f>IF($A$411 &lt;&gt; "",$A$411, "")</f>
        <v>MR9124</v>
      </c>
      <c r="H399" s="4">
        <f>IF($B$411 &lt;&gt; "",$B$411, "")</f>
        <v>5006.4250000000002</v>
      </c>
      <c r="I399" s="4">
        <f>IF($C$411 &lt;&gt; "",$C$411, "")</f>
        <v>10114.072</v>
      </c>
      <c r="J399" s="4">
        <f>IF($D$411 &lt;&gt; "",$D$411, "")</f>
        <v>197.006</v>
      </c>
      <c r="K399" s="156"/>
      <c r="L399" s="156"/>
      <c r="M399" s="156"/>
      <c r="N399" s="156"/>
      <c r="O399" s="158"/>
      <c r="P399" s="156"/>
    </row>
    <row r="400" spans="1:16" x14ac:dyDescent="0.2">
      <c r="A400" s="142" t="s">
        <v>649</v>
      </c>
      <c r="B400" s="143">
        <f>_xlfn.IFNA(INDEX(Table_INPUT_2D[X],MATCH(Table8[[#This Row],[UID]],Table_INPUT_2D[Unique ID],0)),"")</f>
        <v>5005.848</v>
      </c>
      <c r="C400" s="145">
        <f>_xlfn.IFNA(INDEX(Table_INPUT_2D[Y],MATCH(Table8[[#This Row],[UID]],Table_INPUT_2D[Unique ID],0)),"")</f>
        <v>10043.736999999999</v>
      </c>
      <c r="D400" s="144">
        <f>_xlfn.IFNA(INDEX(Table_INPUT_2D[Z],MATCH(Table8[[#This Row],[UID]],Table_INPUT_2D[Unique ID],0)),"")</f>
        <v>197.61699999999999</v>
      </c>
      <c r="E400" s="146" t="s">
        <v>650</v>
      </c>
      <c r="G400" s="4" t="str">
        <f>IF($A$412 &lt;&gt; "",$A$412, "")</f>
        <v>STATION</v>
      </c>
      <c r="H400" s="4"/>
      <c r="I400" s="4"/>
      <c r="J400" s="4"/>
      <c r="K400" s="156"/>
      <c r="L400" s="156"/>
      <c r="M400" s="156"/>
      <c r="N400" s="4"/>
      <c r="O400" s="4"/>
      <c r="P400" s="4"/>
    </row>
    <row r="401" spans="1:16" x14ac:dyDescent="0.2">
      <c r="A401" s="142" t="s">
        <v>652</v>
      </c>
      <c r="B401" s="143">
        <f>_xlfn.IFNA(INDEX(Table_INPUT_2D[X],MATCH(Table8[[#This Row],[UID]],Table_INPUT_2D[Unique ID],0)),"")</f>
        <v>5007.7460000000001</v>
      </c>
      <c r="C401" s="145">
        <f>_xlfn.IFNA(INDEX(Table_INPUT_2D[Y],MATCH(Table8[[#This Row],[UID]],Table_INPUT_2D[Unique ID],0)),"")</f>
        <v>10063.929</v>
      </c>
      <c r="D401" s="144">
        <f>_xlfn.IFNA(INDEX(Table_INPUT_2D[Z],MATCH(Table8[[#This Row],[UID]],Table_INPUT_2D[Unique ID],0)),"")</f>
        <v>197.58600000000001</v>
      </c>
      <c r="E401" s="146" t="s">
        <v>651</v>
      </c>
      <c r="G401" s="4" t="str">
        <f>IF($A$413 &lt;&gt; "",$A$413, "")</f>
        <v>MR9124</v>
      </c>
      <c r="H401" s="4">
        <f>IF($B$413 &lt;&gt; "",$B$413, "")</f>
        <v>5025.9719999999998</v>
      </c>
      <c r="I401" s="4">
        <f>IF($C$413 &lt;&gt; "",$C$413, "")</f>
        <v>9894.5360000000001</v>
      </c>
      <c r="J401" s="4">
        <f>IF($D$413 &lt;&gt; "",$D$413, "")</f>
        <v>199.69300000000001</v>
      </c>
      <c r="K401" s="156">
        <f>AVERAGE($H$401,$H$402)</f>
        <v>5025.9719999999998</v>
      </c>
      <c r="L401" s="156">
        <f>AVERAGE($I$401,$I$402)</f>
        <v>9894.5360000000001</v>
      </c>
      <c r="M401" s="156">
        <f>AVERAGE($J$401,$J$402)</f>
        <v>199.69900000000001</v>
      </c>
      <c r="N401" s="156"/>
      <c r="O401" s="158">
        <f>$O$393</f>
        <v>139.27218801652896</v>
      </c>
      <c r="P401" s="156"/>
    </row>
    <row r="402" spans="1:16" x14ac:dyDescent="0.2">
      <c r="A402" s="142" t="s">
        <v>652</v>
      </c>
      <c r="B402" s="143">
        <f>_xlfn.IFNA(INDEX(Table_INPUT_2D[X],MATCH(Table8[[#This Row],[UID]],Table_INPUT_2D[Unique ID],0)),"")</f>
        <v>5007.7470000000003</v>
      </c>
      <c r="C402" s="145">
        <f>_xlfn.IFNA(INDEX(Table_INPUT_2D[Y],MATCH(Table8[[#This Row],[UID]],Table_INPUT_2D[Unique ID],0)),"")</f>
        <v>10063.929</v>
      </c>
      <c r="D402" s="144">
        <f>_xlfn.IFNA(INDEX(Table_INPUT_2D[Z],MATCH(Table8[[#This Row],[UID]],Table_INPUT_2D[Unique ID],0)),"")</f>
        <v>197.58199999999999</v>
      </c>
      <c r="E402" s="146" t="s">
        <v>653</v>
      </c>
      <c r="G402" s="4" t="str">
        <f>IF($A$414 &lt;&gt; "",$A$414, "")</f>
        <v>MR9124</v>
      </c>
      <c r="H402" s="4">
        <f>IF($B$414 &lt;&gt; "",$B$414, "")</f>
        <v>5025.9719999999998</v>
      </c>
      <c r="I402" s="4">
        <f>IF($C$414 &lt;&gt; "",$C$414, "")</f>
        <v>9894.5360000000001</v>
      </c>
      <c r="J402" s="4">
        <f>IF($D$414 &lt;&gt; "",$D$414, "")</f>
        <v>199.70500000000001</v>
      </c>
      <c r="K402" s="156"/>
      <c r="L402" s="156"/>
      <c r="M402" s="156"/>
      <c r="N402" s="156">
        <f>$M$403-$M$401</f>
        <v>-0.27350000000001273</v>
      </c>
      <c r="O402" s="158"/>
      <c r="P402" s="156">
        <f>SQRT(($K$403-$K$401)^2 +($L$403-$L$401)^2)</f>
        <v>18.913448898864917</v>
      </c>
    </row>
    <row r="403" spans="1:16" x14ac:dyDescent="0.2">
      <c r="A403" s="142" t="s">
        <v>655</v>
      </c>
      <c r="B403" s="143">
        <f>_xlfn.IFNA(INDEX(Table_INPUT_2D[X],MATCH(Table8[[#This Row],[UID]],Table_INPUT_2D[Unique ID],0)),"")</f>
        <v>5013.3419999999996</v>
      </c>
      <c r="C403" s="145">
        <f>_xlfn.IFNA(INDEX(Table_INPUT_2D[Y],MATCH(Table8[[#This Row],[UID]],Table_INPUT_2D[Unique ID],0)),"")</f>
        <v>10083.626</v>
      </c>
      <c r="D403" s="144">
        <f>_xlfn.IFNA(INDEX(Table_INPUT_2D[Z],MATCH(Table8[[#This Row],[UID]],Table_INPUT_2D[Unique ID],0)),"")</f>
        <v>196.96</v>
      </c>
      <c r="E403" s="146" t="s">
        <v>654</v>
      </c>
      <c r="G403" s="4" t="str">
        <f>IF($A$415 &lt;&gt; "",$A$415, "")</f>
        <v>MR9125</v>
      </c>
      <c r="H403" s="4">
        <f>IF($B$415 &lt;&gt; "",$B$415, "")</f>
        <v>5024.5919999999996</v>
      </c>
      <c r="I403" s="4">
        <f>IF($C$415 &lt;&gt; "",$C$415, "")</f>
        <v>9913.3989999999994</v>
      </c>
      <c r="J403" s="4">
        <f>IF($D$415 &lt;&gt; "",$D$415, "")</f>
        <v>199.42099999999999</v>
      </c>
      <c r="K403" s="156">
        <f>AVERAGE($H$403,$H$404)</f>
        <v>5024.5915000000005</v>
      </c>
      <c r="L403" s="156">
        <f>AVERAGE($I$403,$I$404)</f>
        <v>9913.3989999999994</v>
      </c>
      <c r="M403" s="156">
        <f>AVERAGE($J$403,$J$404)</f>
        <v>199.4255</v>
      </c>
      <c r="N403" s="156"/>
      <c r="O403" s="158">
        <f>$O$401+($N$402)</f>
        <v>138.99868801652894</v>
      </c>
      <c r="P403" s="156"/>
    </row>
    <row r="404" spans="1:16" x14ac:dyDescent="0.2">
      <c r="A404" s="142" t="s">
        <v>655</v>
      </c>
      <c r="B404" s="143">
        <f>_xlfn.IFNA(INDEX(Table_INPUT_2D[X],MATCH(Table8[[#This Row],[UID]],Table_INPUT_2D[Unique ID],0)),"")</f>
        <v>5013.3410000000003</v>
      </c>
      <c r="C404" s="145">
        <f>_xlfn.IFNA(INDEX(Table_INPUT_2D[Y],MATCH(Table8[[#This Row],[UID]],Table_INPUT_2D[Unique ID],0)),"")</f>
        <v>10083.626</v>
      </c>
      <c r="D404" s="144">
        <f>_xlfn.IFNA(INDEX(Table_INPUT_2D[Z],MATCH(Table8[[#This Row],[UID]],Table_INPUT_2D[Unique ID],0)),"")</f>
        <v>196.96799999999999</v>
      </c>
      <c r="E404" s="146" t="s">
        <v>656</v>
      </c>
      <c r="G404" s="4" t="str">
        <f>IF($A$416 &lt;&gt; "",$A$416, "")</f>
        <v>MR9125</v>
      </c>
      <c r="H404" s="4">
        <f>IF($B$416 &lt;&gt; "",$B$416, "")</f>
        <v>5024.5910000000003</v>
      </c>
      <c r="I404" s="4">
        <f>IF($C$416 &lt;&gt; "",$C$416, "")</f>
        <v>9913.3989999999994</v>
      </c>
      <c r="J404" s="4">
        <f>IF($D$416 &lt;&gt; "",$D$416, "")</f>
        <v>199.43</v>
      </c>
      <c r="K404" s="156"/>
      <c r="L404" s="156"/>
      <c r="M404" s="156"/>
      <c r="N404" s="156">
        <f>$M$405-$M$403</f>
        <v>-1.3555000000000064</v>
      </c>
      <c r="O404" s="158"/>
      <c r="P404" s="156">
        <f>SQRT(($K$405-$K$403)^2 +($L$405-$L$403)^2)</f>
        <v>22.080450221860485</v>
      </c>
    </row>
    <row r="405" spans="1:16" x14ac:dyDescent="0.2">
      <c r="A405" s="142" t="s">
        <v>658</v>
      </c>
      <c r="B405" s="143">
        <f>_xlfn.IFNA(INDEX(Table_INPUT_2D[X],MATCH(Table8[[#This Row],[UID]],Table_INPUT_2D[Unique ID],0)),"")</f>
        <v>5006.4250000000002</v>
      </c>
      <c r="C405" s="145">
        <f>_xlfn.IFNA(INDEX(Table_INPUT_2D[Y],MATCH(Table8[[#This Row],[UID]],Table_INPUT_2D[Unique ID],0)),"")</f>
        <v>10114.072</v>
      </c>
      <c r="D405" s="144">
        <f>_xlfn.IFNA(INDEX(Table_INPUT_2D[Z],MATCH(Table8[[#This Row],[UID]],Table_INPUT_2D[Unique ID],0)),"")</f>
        <v>197.00399999999999</v>
      </c>
      <c r="E405" s="146" t="s">
        <v>657</v>
      </c>
      <c r="G405" s="4" t="str">
        <f>IF($A$417 &lt;&gt; "",$A$417, "")</f>
        <v>MR9126</v>
      </c>
      <c r="H405" s="4">
        <f>IF($B$417 &lt;&gt; "",$B$417, "")</f>
        <v>5023.88</v>
      </c>
      <c r="I405" s="4">
        <f>IF($C$417 &lt;&gt; "",$C$417, "")</f>
        <v>9935.4680000000008</v>
      </c>
      <c r="J405" s="4">
        <f>IF($D$417 &lt;&gt; "",$D$417, "")</f>
        <v>198.07300000000001</v>
      </c>
      <c r="K405" s="156">
        <f>AVERAGE($H$405,$H$406)</f>
        <v>5023.8805000000002</v>
      </c>
      <c r="L405" s="156">
        <f>AVERAGE($I$405,$I$406)</f>
        <v>9935.4680000000008</v>
      </c>
      <c r="M405" s="156">
        <f>AVERAGE($J$405,$J$406)</f>
        <v>198.07</v>
      </c>
      <c r="N405" s="156"/>
      <c r="O405" s="158">
        <f>$O$403+($N$404)</f>
        <v>137.64318801652894</v>
      </c>
      <c r="P405" s="156"/>
    </row>
    <row r="406" spans="1:16" x14ac:dyDescent="0.2">
      <c r="A406" s="142" t="s">
        <v>658</v>
      </c>
      <c r="B406" s="143">
        <f>_xlfn.IFNA(INDEX(Table_INPUT_2D[X],MATCH(Table8[[#This Row],[UID]],Table_INPUT_2D[Unique ID],0)),"")</f>
        <v>5006.4279999999999</v>
      </c>
      <c r="C406" s="145">
        <f>_xlfn.IFNA(INDEX(Table_INPUT_2D[Y],MATCH(Table8[[#This Row],[UID]],Table_INPUT_2D[Unique ID],0)),"")</f>
        <v>10114.072</v>
      </c>
      <c r="D406" s="144">
        <f>_xlfn.IFNA(INDEX(Table_INPUT_2D[Z],MATCH(Table8[[#This Row],[UID]],Table_INPUT_2D[Unique ID],0)),"")</f>
        <v>196.99299999999999</v>
      </c>
      <c r="E406" s="146" t="s">
        <v>659</v>
      </c>
      <c r="G406" s="4" t="str">
        <f>IF($A$418 &lt;&gt; "",$A$418, "")</f>
        <v>MR9126</v>
      </c>
      <c r="H406" s="4">
        <f>IF($B$418 &lt;&gt; "",$B$418, "")</f>
        <v>5023.8810000000003</v>
      </c>
      <c r="I406" s="4">
        <f>IF($C$418 &lt;&gt; "",$C$418, "")</f>
        <v>9935.4680000000008</v>
      </c>
      <c r="J406" s="4">
        <f>IF($D$418 &lt;&gt; "",$D$418, "")</f>
        <v>198.06700000000001</v>
      </c>
      <c r="K406" s="156"/>
      <c r="L406" s="156"/>
      <c r="M406" s="156"/>
      <c r="N406" s="156">
        <f>$M$407-$M$405</f>
        <v>-0.44149999999999068</v>
      </c>
      <c r="O406" s="158"/>
      <c r="P406" s="156">
        <f>SQRT(($K$407-$K$405)^2 +($L$407-$L$405)^2)</f>
        <v>18.942264978084946</v>
      </c>
    </row>
    <row r="407" spans="1:16" x14ac:dyDescent="0.2">
      <c r="A407" s="142" t="s">
        <v>21</v>
      </c>
      <c r="B407" s="143" t="str">
        <f>_xlfn.IFNA(INDEX(Table_INPUT_2D[X],MATCH(Table8[[#This Row],[UID]],Table_INPUT_2D[Unique ID],0)),"")</f>
        <v/>
      </c>
      <c r="C407" s="145" t="str">
        <f>_xlfn.IFNA(INDEX(Table_INPUT_2D[Y],MATCH(Table8[[#This Row],[UID]],Table_INPUT_2D[Unique ID],0)),"")</f>
        <v/>
      </c>
      <c r="D407" s="144" t="str">
        <f>_xlfn.IFNA(INDEX(Table_INPUT_2D[Z],MATCH(Table8[[#This Row],[UID]],Table_INPUT_2D[Unique ID],0)),"")</f>
        <v/>
      </c>
      <c r="E407" s="146"/>
      <c r="G407" s="4" t="str">
        <f>IF($A$419 &lt;&gt; "",$A$419, "")</f>
        <v>MR9127</v>
      </c>
      <c r="H407" s="4">
        <f>IF($B$419 &lt;&gt; "",$B$419, "")</f>
        <v>5022.75</v>
      </c>
      <c r="I407" s="4">
        <f>IF($C$419 &lt;&gt; "",$C$419, "")</f>
        <v>9954.3770000000004</v>
      </c>
      <c r="J407" s="4">
        <f>IF($D$419 &lt;&gt; "",$D$419, "")</f>
        <v>197.626</v>
      </c>
      <c r="K407" s="156">
        <f>AVERAGE($H$407,$H$408)</f>
        <v>5022.75</v>
      </c>
      <c r="L407" s="156">
        <f>AVERAGE($I$407,$I$408)</f>
        <v>9954.3765000000003</v>
      </c>
      <c r="M407" s="156">
        <f>AVERAGE($J$407,$J$408)</f>
        <v>197.6285</v>
      </c>
      <c r="N407" s="156"/>
      <c r="O407" s="158">
        <f>$O$405+($N$406)</f>
        <v>137.20168801652895</v>
      </c>
      <c r="P407" s="156"/>
    </row>
    <row r="408" spans="1:16" x14ac:dyDescent="0.2">
      <c r="A408" s="142" t="s">
        <v>621</v>
      </c>
      <c r="B408" s="143">
        <f>_xlfn.IFNA(INDEX(Table_INPUT_2D[X],MATCH(Table8[[#This Row],[UID]],Table_INPUT_2D[Unique ID],0)),"")</f>
        <v>4990.8789999999999</v>
      </c>
      <c r="C408" s="145">
        <f>_xlfn.IFNA(INDEX(Table_INPUT_2D[Y],MATCH(Table8[[#This Row],[UID]],Table_INPUT_2D[Unique ID],0)),"")</f>
        <v>9902.7289999999994</v>
      </c>
      <c r="D408" s="144">
        <f>_xlfn.IFNA(INDEX(Table_INPUT_2D[Z],MATCH(Table8[[#This Row],[UID]],Table_INPUT_2D[Unique ID],0)),"")</f>
        <v>201.00200000000001</v>
      </c>
      <c r="E408" s="146" t="s">
        <v>628</v>
      </c>
      <c r="G408" s="4" t="str">
        <f>IF($A$420 &lt;&gt; "",$A$420, "")</f>
        <v>MR9127</v>
      </c>
      <c r="H408" s="4">
        <f>IF($B$420 &lt;&gt; "",$B$420, "")</f>
        <v>5022.75</v>
      </c>
      <c r="I408" s="4">
        <f>IF($C$420 &lt;&gt; "",$C$420, "")</f>
        <v>9954.3760000000002</v>
      </c>
      <c r="J408" s="4">
        <f>IF($D$420 &lt;&gt; "",$D$420, "")</f>
        <v>197.631</v>
      </c>
      <c r="K408" s="156"/>
      <c r="L408" s="156"/>
      <c r="M408" s="156"/>
      <c r="N408" s="156">
        <f>$M$409-$M$407</f>
        <v>-0.25899999999998613</v>
      </c>
      <c r="O408" s="158"/>
      <c r="P408" s="156">
        <f>SQRT(($K$409-$K$407)^2 +($L$409-$L$407)^2)</f>
        <v>20.031275652089185</v>
      </c>
    </row>
    <row r="409" spans="1:16" x14ac:dyDescent="0.2">
      <c r="A409" s="142" t="s">
        <v>621</v>
      </c>
      <c r="B409" s="143">
        <f>_xlfn.IFNA(INDEX(Table_INPUT_2D[X],MATCH(Table8[[#This Row],[UID]],Table_INPUT_2D[Unique ID],0)),"")</f>
        <v>4990.8779999999997</v>
      </c>
      <c r="C409" s="145">
        <f>_xlfn.IFNA(INDEX(Table_INPUT_2D[Y],MATCH(Table8[[#This Row],[UID]],Table_INPUT_2D[Unique ID],0)),"")</f>
        <v>9902.7289999999994</v>
      </c>
      <c r="D409" s="144">
        <f>_xlfn.IFNA(INDEX(Table_INPUT_2D[Z],MATCH(Table8[[#This Row],[UID]],Table_INPUT_2D[Unique ID],0)),"")</f>
        <v>200.994</v>
      </c>
      <c r="E409" s="146" t="s">
        <v>629</v>
      </c>
      <c r="G409" s="4" t="str">
        <f>IF($A$421 &lt;&gt; "",$A$421, "")</f>
        <v>MR9128</v>
      </c>
      <c r="H409" s="4">
        <f>IF($B$421 &lt;&gt; "",$B$421, "")</f>
        <v>5021.085</v>
      </c>
      <c r="I409" s="4">
        <f>IF($C$421 &lt;&gt; "",$C$421, "")</f>
        <v>9974.3379999999997</v>
      </c>
      <c r="J409" s="4">
        <f>IF($D$421 &lt;&gt; "",$D$421, "")</f>
        <v>197.37100000000001</v>
      </c>
      <c r="K409" s="156">
        <f>AVERAGE($H$409,$H$410)</f>
        <v>5021.0855000000001</v>
      </c>
      <c r="L409" s="156">
        <f>AVERAGE($I$409,$I$410)</f>
        <v>9974.3384999999998</v>
      </c>
      <c r="M409" s="156">
        <f>AVERAGE($J$409,$J$410)</f>
        <v>197.36950000000002</v>
      </c>
      <c r="N409" s="156"/>
      <c r="O409" s="158">
        <f>$O$407+($N$408)</f>
        <v>136.94268801652896</v>
      </c>
      <c r="P409" s="156"/>
    </row>
    <row r="410" spans="1:16" x14ac:dyDescent="0.2">
      <c r="A410" s="142" t="s">
        <v>658</v>
      </c>
      <c r="B410" s="143">
        <f>_xlfn.IFNA(INDEX(Table_INPUT_2D[X],MATCH(Table8[[#This Row],[UID]],Table_INPUT_2D[Unique ID],0)),"")</f>
        <v>5006.43</v>
      </c>
      <c r="C410" s="145">
        <f>_xlfn.IFNA(INDEX(Table_INPUT_2D[Y],MATCH(Table8[[#This Row],[UID]],Table_INPUT_2D[Unique ID],0)),"")</f>
        <v>10114.072</v>
      </c>
      <c r="D410" s="144">
        <f>_xlfn.IFNA(INDEX(Table_INPUT_2D[Z],MATCH(Table8[[#This Row],[UID]],Table_INPUT_2D[Unique ID],0)),"")</f>
        <v>196.99100000000001</v>
      </c>
      <c r="E410" s="146" t="s">
        <v>660</v>
      </c>
      <c r="G410" s="4" t="str">
        <f>IF($A$422 &lt;&gt; "",$A$422, "")</f>
        <v>MR9128</v>
      </c>
      <c r="H410" s="4">
        <f>IF($B$422 &lt;&gt; "",$B$422, "")</f>
        <v>5021.0860000000002</v>
      </c>
      <c r="I410" s="4">
        <f>IF($C$422 &lt;&gt; "",$C$422, "")</f>
        <v>9974.3389999999999</v>
      </c>
      <c r="J410" s="4">
        <f>IF($D$422 &lt;&gt; "",$D$422, "")</f>
        <v>197.36799999999999</v>
      </c>
      <c r="K410" s="156"/>
      <c r="L410" s="156"/>
      <c r="M410" s="156"/>
      <c r="N410" s="156">
        <f>$M$411-$M$409</f>
        <v>2.0000000000095497E-3</v>
      </c>
      <c r="O410" s="158"/>
      <c r="P410" s="156">
        <f>SQRT(($K$411-$K$409)^2 +($L$411-$L$409)^2)</f>
        <v>24.520138381542907</v>
      </c>
    </row>
    <row r="411" spans="1:16" x14ac:dyDescent="0.2">
      <c r="A411" s="142" t="s">
        <v>658</v>
      </c>
      <c r="B411" s="143">
        <f>_xlfn.IFNA(INDEX(Table_INPUT_2D[X],MATCH(Table8[[#This Row],[UID]],Table_INPUT_2D[Unique ID],0)),"")</f>
        <v>5006.4250000000002</v>
      </c>
      <c r="C411" s="145">
        <f>_xlfn.IFNA(INDEX(Table_INPUT_2D[Y],MATCH(Table8[[#This Row],[UID]],Table_INPUT_2D[Unique ID],0)),"")</f>
        <v>10114.072</v>
      </c>
      <c r="D411" s="144">
        <f>_xlfn.IFNA(INDEX(Table_INPUT_2D[Z],MATCH(Table8[[#This Row],[UID]],Table_INPUT_2D[Unique ID],0)),"")</f>
        <v>197.006</v>
      </c>
      <c r="E411" s="146" t="s">
        <v>661</v>
      </c>
      <c r="G411" s="4" t="str">
        <f>IF($A$423 &lt;&gt; "",$A$423, "")</f>
        <v>MR9129</v>
      </c>
      <c r="H411" s="4">
        <f>IF($B$423 &lt;&gt; "",$B$423, "")</f>
        <v>5019.4489999999996</v>
      </c>
      <c r="I411" s="4">
        <f>IF($C$423 &lt;&gt; "",$C$423, "")</f>
        <v>9998.8040000000001</v>
      </c>
      <c r="J411" s="4">
        <f>IF($D$423 &lt;&gt; "",$D$423, "")</f>
        <v>197.37100000000001</v>
      </c>
      <c r="K411" s="156">
        <f>AVERAGE($H$411,$H$412)</f>
        <v>5019.4494999999997</v>
      </c>
      <c r="L411" s="156">
        <f>AVERAGE($I$411,$I$412)</f>
        <v>9998.8040000000001</v>
      </c>
      <c r="M411" s="156">
        <f>AVERAGE($J$411,$J$412)</f>
        <v>197.37150000000003</v>
      </c>
      <c r="N411" s="156"/>
      <c r="O411" s="158">
        <f>$O$409+($N$410)</f>
        <v>136.94468801652897</v>
      </c>
      <c r="P411" s="156"/>
    </row>
    <row r="412" spans="1:16" x14ac:dyDescent="0.2">
      <c r="A412" s="142" t="s">
        <v>22</v>
      </c>
      <c r="B412" s="143" t="str">
        <f>_xlfn.IFNA(INDEX(Table_INPUT_2D[X],MATCH(Table8[[#This Row],[UID]],Table_INPUT_2D[Unique ID],0)),"")</f>
        <v/>
      </c>
      <c r="C412" s="145" t="str">
        <f>_xlfn.IFNA(INDEX(Table_INPUT_2D[Y],MATCH(Table8[[#This Row],[UID]],Table_INPUT_2D[Unique ID],0)),"")</f>
        <v/>
      </c>
      <c r="D412" s="144" t="str">
        <f>_xlfn.IFNA(INDEX(Table_INPUT_2D[Z],MATCH(Table8[[#This Row],[UID]],Table_INPUT_2D[Unique ID],0)),"")</f>
        <v/>
      </c>
      <c r="E412" s="146"/>
      <c r="G412" s="4" t="str">
        <f>IF($A$424 &lt;&gt; "",$A$424, "")</f>
        <v>MR9129</v>
      </c>
      <c r="H412" s="4">
        <f>IF($B$424 &lt;&gt; "",$B$424, "")</f>
        <v>5019.45</v>
      </c>
      <c r="I412" s="4">
        <f>IF($C$424 &lt;&gt; "",$C$424, "")</f>
        <v>9998.8040000000001</v>
      </c>
      <c r="J412" s="4">
        <f>IF($D$424 &lt;&gt; "",$D$424, "")</f>
        <v>197.37200000000001</v>
      </c>
      <c r="K412" s="156"/>
      <c r="L412" s="156"/>
      <c r="M412" s="156"/>
      <c r="N412" s="156">
        <f>$M$413-$M$411</f>
        <v>-0.34100000000000819</v>
      </c>
      <c r="O412" s="158"/>
      <c r="P412" s="156">
        <f>SQRT(($K$413-$K$411)^2 +($L$413-$L$411)^2)</f>
        <v>14.054901929575442</v>
      </c>
    </row>
    <row r="413" spans="1:16" x14ac:dyDescent="0.2">
      <c r="A413" s="142" t="s">
        <v>658</v>
      </c>
      <c r="B413" s="143">
        <f>_xlfn.IFNA(INDEX(Table_INPUT_2D[X],MATCH(Table8[[#This Row],[UID]],Table_INPUT_2D[Unique ID],0)),"")</f>
        <v>5025.9719999999998</v>
      </c>
      <c r="C413" s="145">
        <f>_xlfn.IFNA(INDEX(Table_INPUT_2D[Y],MATCH(Table8[[#This Row],[UID]],Table_INPUT_2D[Unique ID],0)),"")</f>
        <v>9894.5360000000001</v>
      </c>
      <c r="D413" s="144">
        <f>_xlfn.IFNA(INDEX(Table_INPUT_2D[Z],MATCH(Table8[[#This Row],[UID]],Table_INPUT_2D[Unique ID],0)),"")</f>
        <v>199.69300000000001</v>
      </c>
      <c r="E413" s="146" t="s">
        <v>663</v>
      </c>
      <c r="G413" s="4" t="str">
        <f>IF($A$425 &lt;&gt; "",$A$425, "")</f>
        <v>MR9130</v>
      </c>
      <c r="H413" s="4">
        <f>IF($B$425 &lt;&gt; "",$B$425, "")</f>
        <v>5018.518</v>
      </c>
      <c r="I413" s="4">
        <f>IF($C$425 &lt;&gt; "",$C$425, "")</f>
        <v>10012.828</v>
      </c>
      <c r="J413" s="4">
        <f>IF($D$425 &lt;&gt; "",$D$425, "")</f>
        <v>197.03100000000001</v>
      </c>
      <c r="K413" s="156">
        <f>AVERAGE($H$413,$H$414)</f>
        <v>5018.518</v>
      </c>
      <c r="L413" s="156">
        <f>AVERAGE($I$413,$I$414)</f>
        <v>10012.828</v>
      </c>
      <c r="M413" s="156">
        <f>AVERAGE($J$413,$J$414)</f>
        <v>197.03050000000002</v>
      </c>
      <c r="N413" s="156"/>
      <c r="O413" s="158">
        <f>$O$411+($N$412)</f>
        <v>136.60368801652896</v>
      </c>
      <c r="P413" s="156"/>
    </row>
    <row r="414" spans="1:16" x14ac:dyDescent="0.2">
      <c r="A414" s="142" t="s">
        <v>658</v>
      </c>
      <c r="B414" s="143">
        <f>_xlfn.IFNA(INDEX(Table_INPUT_2D[X],MATCH(Table8[[#This Row],[UID]],Table_INPUT_2D[Unique ID],0)),"")</f>
        <v>5025.9719999999998</v>
      </c>
      <c r="C414" s="145">
        <f>_xlfn.IFNA(INDEX(Table_INPUT_2D[Y],MATCH(Table8[[#This Row],[UID]],Table_INPUT_2D[Unique ID],0)),"")</f>
        <v>9894.5360000000001</v>
      </c>
      <c r="D414" s="144">
        <f>_xlfn.IFNA(INDEX(Table_INPUT_2D[Z],MATCH(Table8[[#This Row],[UID]],Table_INPUT_2D[Unique ID],0)),"")</f>
        <v>199.70500000000001</v>
      </c>
      <c r="E414" s="146" t="s">
        <v>664</v>
      </c>
      <c r="G414" s="4" t="str">
        <f>IF($A$426 &lt;&gt; "",$A$426, "")</f>
        <v>MR9130</v>
      </c>
      <c r="H414" s="4">
        <f>IF($B$426 &lt;&gt; "",$B$426, "")</f>
        <v>5018.518</v>
      </c>
      <c r="I414" s="4">
        <f>IF($C$426 &lt;&gt; "",$C$426, "")</f>
        <v>10012.828</v>
      </c>
      <c r="J414" s="4">
        <f>IF($D$426 &lt;&gt; "",$D$426, "")</f>
        <v>197.03</v>
      </c>
      <c r="K414" s="156"/>
      <c r="L414" s="156"/>
      <c r="M414" s="156"/>
      <c r="N414" s="156">
        <f>$M$415-$M$413</f>
        <v>0.38499999999999091</v>
      </c>
      <c r="O414" s="158"/>
      <c r="P414" s="156">
        <f>SQRT(($K$415-$K$413)^2 +($L$415-$L$413)^2)</f>
        <v>22.734572972678802</v>
      </c>
    </row>
    <row r="415" spans="1:16" x14ac:dyDescent="0.2">
      <c r="A415" s="142" t="s">
        <v>668</v>
      </c>
      <c r="B415" s="143">
        <f>_xlfn.IFNA(INDEX(Table_INPUT_2D[X],MATCH(Table8[[#This Row],[UID]],Table_INPUT_2D[Unique ID],0)),"")</f>
        <v>5024.5919999999996</v>
      </c>
      <c r="C415" s="145">
        <f>_xlfn.IFNA(INDEX(Table_INPUT_2D[Y],MATCH(Table8[[#This Row],[UID]],Table_INPUT_2D[Unique ID],0)),"")</f>
        <v>9913.3989999999994</v>
      </c>
      <c r="D415" s="144">
        <f>_xlfn.IFNA(INDEX(Table_INPUT_2D[Z],MATCH(Table8[[#This Row],[UID]],Table_INPUT_2D[Unique ID],0)),"")</f>
        <v>199.42099999999999</v>
      </c>
      <c r="E415" s="146" t="s">
        <v>667</v>
      </c>
      <c r="G415" s="4" t="str">
        <f>IF($A$427 &lt;&gt; "",$A$427, "")</f>
        <v>MR9131</v>
      </c>
      <c r="H415" s="4">
        <f>IF($B$427 &lt;&gt; "",$B$427, "")</f>
        <v>5017.4939999999997</v>
      </c>
      <c r="I415" s="4">
        <f>IF($C$427 &lt;&gt; "",$C$427, "")</f>
        <v>10035.539000000001</v>
      </c>
      <c r="J415" s="4">
        <f>IF($D$427 &lt;&gt; "",$D$427, "")</f>
        <v>197.41399999999999</v>
      </c>
      <c r="K415" s="156">
        <f>AVERAGE($H$415,$H$416)</f>
        <v>5017.4939999999997</v>
      </c>
      <c r="L415" s="156">
        <f>AVERAGE($I$415,$I$416)</f>
        <v>10035.539500000001</v>
      </c>
      <c r="M415" s="156">
        <f>AVERAGE($J$415,$J$416)</f>
        <v>197.41550000000001</v>
      </c>
      <c r="N415" s="156"/>
      <c r="O415" s="158">
        <f>$O$413+($N$414)</f>
        <v>136.98868801652895</v>
      </c>
      <c r="P415" s="156"/>
    </row>
    <row r="416" spans="1:16" x14ac:dyDescent="0.2">
      <c r="A416" s="142" t="s">
        <v>668</v>
      </c>
      <c r="B416" s="143">
        <f>_xlfn.IFNA(INDEX(Table_INPUT_2D[X],MATCH(Table8[[#This Row],[UID]],Table_INPUT_2D[Unique ID],0)),"")</f>
        <v>5024.5910000000003</v>
      </c>
      <c r="C416" s="145">
        <f>_xlfn.IFNA(INDEX(Table_INPUT_2D[Y],MATCH(Table8[[#This Row],[UID]],Table_INPUT_2D[Unique ID],0)),"")</f>
        <v>9913.3989999999994</v>
      </c>
      <c r="D416" s="144">
        <f>_xlfn.IFNA(INDEX(Table_INPUT_2D[Z],MATCH(Table8[[#This Row],[UID]],Table_INPUT_2D[Unique ID],0)),"")</f>
        <v>199.43</v>
      </c>
      <c r="E416" s="146" t="s">
        <v>669</v>
      </c>
      <c r="G416" s="4" t="str">
        <f>IF($A$428 &lt;&gt; "",$A$428, "")</f>
        <v>MR9131</v>
      </c>
      <c r="H416" s="4">
        <f>IF($B$428 &lt;&gt; "",$B$428, "")</f>
        <v>5017.4939999999997</v>
      </c>
      <c r="I416" s="4">
        <f>IF($C$428 &lt;&gt; "",$C$428, "")</f>
        <v>10035.540000000001</v>
      </c>
      <c r="J416" s="4">
        <f>IF($D$428 &lt;&gt; "",$D$428, "")</f>
        <v>197.417</v>
      </c>
      <c r="K416" s="156"/>
      <c r="L416" s="156"/>
      <c r="M416" s="156"/>
      <c r="N416" s="156">
        <f>$M$417-$M$415</f>
        <v>0.13749999999998863</v>
      </c>
      <c r="O416" s="158"/>
      <c r="P416" s="156">
        <f>SQRT(($K$417-$K$415)^2 +($L$417-$L$415)^2)</f>
        <v>21.032878981488963</v>
      </c>
    </row>
    <row r="417" spans="1:16" x14ac:dyDescent="0.2">
      <c r="A417" s="142" t="s">
        <v>671</v>
      </c>
      <c r="B417" s="143">
        <f>_xlfn.IFNA(INDEX(Table_INPUT_2D[X],MATCH(Table8[[#This Row],[UID]],Table_INPUT_2D[Unique ID],0)),"")</f>
        <v>5023.88</v>
      </c>
      <c r="C417" s="145">
        <f>_xlfn.IFNA(INDEX(Table_INPUT_2D[Y],MATCH(Table8[[#This Row],[UID]],Table_INPUT_2D[Unique ID],0)),"")</f>
        <v>9935.4680000000008</v>
      </c>
      <c r="D417" s="144">
        <f>_xlfn.IFNA(INDEX(Table_INPUT_2D[Z],MATCH(Table8[[#This Row],[UID]],Table_INPUT_2D[Unique ID],0)),"")</f>
        <v>198.07300000000001</v>
      </c>
      <c r="E417" s="146" t="s">
        <v>670</v>
      </c>
      <c r="G417" s="4" t="str">
        <f>IF($A$429 &lt;&gt; "",$A$429, "")</f>
        <v>MR9132</v>
      </c>
      <c r="H417" s="4">
        <f>IF($B$429 &lt;&gt; "",$B$429, "")</f>
        <v>5016.0990000000002</v>
      </c>
      <c r="I417" s="4">
        <f>IF($C$429 &lt;&gt; "",$C$429, "")</f>
        <v>10056.526</v>
      </c>
      <c r="J417" s="4">
        <f>IF($D$429 &lt;&gt; "",$D$429, "")</f>
        <v>197.554</v>
      </c>
      <c r="K417" s="156">
        <f>AVERAGE($H$417,$H$418)</f>
        <v>5016.098</v>
      </c>
      <c r="L417" s="156">
        <f>AVERAGE($I$417,$I$418)</f>
        <v>10056.526</v>
      </c>
      <c r="M417" s="156">
        <f>AVERAGE($J$417,$J$418)</f>
        <v>197.553</v>
      </c>
      <c r="N417" s="156"/>
      <c r="O417" s="158">
        <f>$O$415+($N$416)</f>
        <v>137.12618801652894</v>
      </c>
      <c r="P417" s="156"/>
    </row>
    <row r="418" spans="1:16" x14ac:dyDescent="0.2">
      <c r="A418" s="142" t="s">
        <v>671</v>
      </c>
      <c r="B418" s="143">
        <f>_xlfn.IFNA(INDEX(Table_INPUT_2D[X],MATCH(Table8[[#This Row],[UID]],Table_INPUT_2D[Unique ID],0)),"")</f>
        <v>5023.8810000000003</v>
      </c>
      <c r="C418" s="145">
        <f>_xlfn.IFNA(INDEX(Table_INPUT_2D[Y],MATCH(Table8[[#This Row],[UID]],Table_INPUT_2D[Unique ID],0)),"")</f>
        <v>9935.4680000000008</v>
      </c>
      <c r="D418" s="144">
        <f>_xlfn.IFNA(INDEX(Table_INPUT_2D[Z],MATCH(Table8[[#This Row],[UID]],Table_INPUT_2D[Unique ID],0)),"")</f>
        <v>198.06700000000001</v>
      </c>
      <c r="E418" s="146" t="s">
        <v>672</v>
      </c>
      <c r="G418" s="4" t="str">
        <f>IF($A$430 &lt;&gt; "",$A$430, "")</f>
        <v>MR9132</v>
      </c>
      <c r="H418" s="4">
        <f>IF($B$430 &lt;&gt; "",$B$430, "")</f>
        <v>5016.0969999999998</v>
      </c>
      <c r="I418" s="4">
        <f>IF($C$430 &lt;&gt; "",$C$430, "")</f>
        <v>10056.526</v>
      </c>
      <c r="J418" s="4">
        <f>IF($D$430 &lt;&gt; "",$D$430, "")</f>
        <v>197.55199999999999</v>
      </c>
      <c r="K418" s="156"/>
      <c r="L418" s="156"/>
      <c r="M418" s="156"/>
      <c r="N418" s="156">
        <f>$M$419-$M$417</f>
        <v>-3.9500000000003865E-2</v>
      </c>
      <c r="O418" s="158"/>
      <c r="P418" s="156">
        <f>SQRT(($K$419-$K$417)^2 +($L$419-$L$417)^2)</f>
        <v>15.372608269256416</v>
      </c>
    </row>
    <row r="419" spans="1:16" x14ac:dyDescent="0.2">
      <c r="A419" s="142" t="s">
        <v>674</v>
      </c>
      <c r="B419" s="143">
        <f>_xlfn.IFNA(INDEX(Table_INPUT_2D[X],MATCH(Table8[[#This Row],[UID]],Table_INPUT_2D[Unique ID],0)),"")</f>
        <v>5022.75</v>
      </c>
      <c r="C419" s="145">
        <f>_xlfn.IFNA(INDEX(Table_INPUT_2D[Y],MATCH(Table8[[#This Row],[UID]],Table_INPUT_2D[Unique ID],0)),"")</f>
        <v>9954.3770000000004</v>
      </c>
      <c r="D419" s="144">
        <f>_xlfn.IFNA(INDEX(Table_INPUT_2D[Z],MATCH(Table8[[#This Row],[UID]],Table_INPUT_2D[Unique ID],0)),"")</f>
        <v>197.626</v>
      </c>
      <c r="E419" s="146" t="s">
        <v>673</v>
      </c>
      <c r="G419" s="4" t="str">
        <f>IF($A$431 &lt;&gt; "",$A$431, "")</f>
        <v>MR9133</v>
      </c>
      <c r="H419" s="4">
        <f>IF($B$431 &lt;&gt; "",$B$431, "")</f>
        <v>5014.8639999999996</v>
      </c>
      <c r="I419" s="4">
        <f>IF($C$431 &lt;&gt; "",$C$431, "")</f>
        <v>10071.849</v>
      </c>
      <c r="J419" s="4">
        <f>IF($D$431 &lt;&gt; "",$D$431, "")</f>
        <v>197.51</v>
      </c>
      <c r="K419" s="156">
        <f>AVERAGE($H$419,$H$420)</f>
        <v>5014.8639999999996</v>
      </c>
      <c r="L419" s="156">
        <f>AVERAGE($I$419,$I$420)</f>
        <v>10071.849</v>
      </c>
      <c r="M419" s="156">
        <f>AVERAGE($J$419,$J$420)</f>
        <v>197.51349999999999</v>
      </c>
      <c r="N419" s="156"/>
      <c r="O419" s="158">
        <f>$O$417+($N$418)</f>
        <v>137.08668801652894</v>
      </c>
      <c r="P419" s="156"/>
    </row>
    <row r="420" spans="1:16" x14ac:dyDescent="0.2">
      <c r="A420" s="142" t="s">
        <v>674</v>
      </c>
      <c r="B420" s="143">
        <f>_xlfn.IFNA(INDEX(Table_INPUT_2D[X],MATCH(Table8[[#This Row],[UID]],Table_INPUT_2D[Unique ID],0)),"")</f>
        <v>5022.75</v>
      </c>
      <c r="C420" s="145">
        <f>_xlfn.IFNA(INDEX(Table_INPUT_2D[Y],MATCH(Table8[[#This Row],[UID]],Table_INPUT_2D[Unique ID],0)),"")</f>
        <v>9954.3760000000002</v>
      </c>
      <c r="D420" s="144">
        <f>_xlfn.IFNA(INDEX(Table_INPUT_2D[Z],MATCH(Table8[[#This Row],[UID]],Table_INPUT_2D[Unique ID],0)),"")</f>
        <v>197.631</v>
      </c>
      <c r="E420" s="146" t="s">
        <v>675</v>
      </c>
      <c r="G420" s="4" t="str">
        <f>IF($A$432 &lt;&gt; "",$A$432, "")</f>
        <v>MR9133</v>
      </c>
      <c r="H420" s="4">
        <f>IF($B$432 &lt;&gt; "",$B$432, "")</f>
        <v>5014.8639999999996</v>
      </c>
      <c r="I420" s="4">
        <f>IF($C$432 &lt;&gt; "",$C$432, "")</f>
        <v>10071.849</v>
      </c>
      <c r="J420" s="4">
        <f>IF($D$432 &lt;&gt; "",$D$432, "")</f>
        <v>197.517</v>
      </c>
      <c r="K420" s="156"/>
      <c r="L420" s="156"/>
      <c r="M420" s="156"/>
      <c r="N420" s="156"/>
      <c r="O420" s="158"/>
      <c r="P420" s="156"/>
    </row>
    <row r="421" spans="1:16" x14ac:dyDescent="0.2">
      <c r="A421" s="142" t="s">
        <v>677</v>
      </c>
      <c r="B421" s="143">
        <f>_xlfn.IFNA(INDEX(Table_INPUT_2D[X],MATCH(Table8[[#This Row],[UID]],Table_INPUT_2D[Unique ID],0)),"")</f>
        <v>5021.085</v>
      </c>
      <c r="C421" s="145">
        <f>_xlfn.IFNA(INDEX(Table_INPUT_2D[Y],MATCH(Table8[[#This Row],[UID]],Table_INPUT_2D[Unique ID],0)),"")</f>
        <v>9974.3379999999997</v>
      </c>
      <c r="D421" s="144">
        <f>_xlfn.IFNA(INDEX(Table_INPUT_2D[Z],MATCH(Table8[[#This Row],[UID]],Table_INPUT_2D[Unique ID],0)),"")</f>
        <v>197.37100000000001</v>
      </c>
      <c r="E421" s="146" t="s">
        <v>676</v>
      </c>
      <c r="G421" s="4" t="str">
        <f>IF($A$433 &lt;&gt; "",$A$433, "")</f>
        <v>CLOSE</v>
      </c>
      <c r="H421" s="4" t="str">
        <f>IF($B$433 &lt;&gt; "",$B$433, "")</f>
        <v/>
      </c>
      <c r="I421" s="4" t="str">
        <f>IF($C$433 &lt;&gt; "",$C$433, "")</f>
        <v/>
      </c>
      <c r="J421" s="4" t="str">
        <f>IF($D$433 &lt;&gt; "",$D$433, "")</f>
        <v/>
      </c>
      <c r="K421" s="156"/>
      <c r="L421" s="156"/>
      <c r="M421" s="156"/>
      <c r="N421" s="156"/>
      <c r="O421" s="158"/>
      <c r="P421" s="156"/>
    </row>
    <row r="422" spans="1:16" x14ac:dyDescent="0.2">
      <c r="A422" s="142" t="s">
        <v>677</v>
      </c>
      <c r="B422" s="143">
        <f>_xlfn.IFNA(INDEX(Table_INPUT_2D[X],MATCH(Table8[[#This Row],[UID]],Table_INPUT_2D[Unique ID],0)),"")</f>
        <v>5021.0860000000002</v>
      </c>
      <c r="C422" s="145">
        <f>_xlfn.IFNA(INDEX(Table_INPUT_2D[Y],MATCH(Table8[[#This Row],[UID]],Table_INPUT_2D[Unique ID],0)),"")</f>
        <v>9974.3389999999999</v>
      </c>
      <c r="D422" s="144">
        <f>_xlfn.IFNA(INDEX(Table_INPUT_2D[Z],MATCH(Table8[[#This Row],[UID]],Table_INPUT_2D[Unique ID],0)),"")</f>
        <v>197.36799999999999</v>
      </c>
      <c r="E422" s="146" t="s">
        <v>678</v>
      </c>
      <c r="G422" s="4" t="str">
        <f>IF($A$434 &lt;&gt; "",$A$434, "")</f>
        <v>MR9124</v>
      </c>
      <c r="H422" s="4">
        <f>IF($B$434 &lt;&gt; "",$B$434, "")</f>
        <v>5025.9719999999998</v>
      </c>
      <c r="I422" s="4">
        <f>IF($C$434 &lt;&gt; "",$C$434, "")</f>
        <v>9894.5370000000003</v>
      </c>
      <c r="J422" s="4">
        <f>IF($D$434 &lt;&gt; "",$D$434, "")</f>
        <v>199.70400000000001</v>
      </c>
      <c r="K422" s="156">
        <f>AVERAGE($H$422,$H$423)</f>
        <v>5025.9719999999998</v>
      </c>
      <c r="L422" s="156">
        <f>AVERAGE($I$422,$I$423)</f>
        <v>9894.5365000000002</v>
      </c>
      <c r="M422" s="156">
        <f>AVERAGE($J$422,$J$423)</f>
        <v>199.6995</v>
      </c>
      <c r="N422" s="156"/>
      <c r="O422" s="158">
        <f>$O$424+(-$N$423)</f>
        <v>139.27218801652893</v>
      </c>
      <c r="P422" s="156"/>
    </row>
    <row r="423" spans="1:16" x14ac:dyDescent="0.2">
      <c r="A423" s="142" t="s">
        <v>680</v>
      </c>
      <c r="B423" s="143">
        <f>_xlfn.IFNA(INDEX(Table_INPUT_2D[X],MATCH(Table8[[#This Row],[UID]],Table_INPUT_2D[Unique ID],0)),"")</f>
        <v>5019.4489999999996</v>
      </c>
      <c r="C423" s="145">
        <f>_xlfn.IFNA(INDEX(Table_INPUT_2D[Y],MATCH(Table8[[#This Row],[UID]],Table_INPUT_2D[Unique ID],0)),"")</f>
        <v>9998.8040000000001</v>
      </c>
      <c r="D423" s="144">
        <f>_xlfn.IFNA(INDEX(Table_INPUT_2D[Z],MATCH(Table8[[#This Row],[UID]],Table_INPUT_2D[Unique ID],0)),"")</f>
        <v>197.37100000000001</v>
      </c>
      <c r="E423" s="146" t="s">
        <v>679</v>
      </c>
      <c r="G423" s="4" t="str">
        <f>IF($A$435 &lt;&gt; "",$A$435, "")</f>
        <v>MR9124</v>
      </c>
      <c r="H423" s="4">
        <f>IF($B$435 &lt;&gt; "",$B$435, "")</f>
        <v>5025.9719999999998</v>
      </c>
      <c r="I423" s="4">
        <f>IF($C$435 &lt;&gt; "",$C$435, "")</f>
        <v>9894.5360000000001</v>
      </c>
      <c r="J423" s="4">
        <f>IF($D$435 &lt;&gt; "",$D$435, "")</f>
        <v>199.69499999999999</v>
      </c>
      <c r="K423" s="156"/>
      <c r="L423" s="156"/>
      <c r="M423" s="156"/>
      <c r="N423" s="156">
        <f>$M$424-$M$422</f>
        <v>-2.1854999999999905</v>
      </c>
      <c r="O423" s="158"/>
      <c r="P423" s="156">
        <f>SQRT(($K$424-$K$422)^2 +($L$424-$L$422)^2)</f>
        <v>177.66056547599425</v>
      </c>
    </row>
    <row r="424" spans="1:16" x14ac:dyDescent="0.2">
      <c r="A424" s="142" t="s">
        <v>680</v>
      </c>
      <c r="B424" s="143">
        <f>_xlfn.IFNA(INDEX(Table_INPUT_2D[X],MATCH(Table8[[#This Row],[UID]],Table_INPUT_2D[Unique ID],0)),"")</f>
        <v>5019.45</v>
      </c>
      <c r="C424" s="145">
        <f>_xlfn.IFNA(INDEX(Table_INPUT_2D[Y],MATCH(Table8[[#This Row],[UID]],Table_INPUT_2D[Unique ID],0)),"")</f>
        <v>9998.8040000000001</v>
      </c>
      <c r="D424" s="144">
        <f>_xlfn.IFNA(INDEX(Table_INPUT_2D[Z],MATCH(Table8[[#This Row],[UID]],Table_INPUT_2D[Unique ID],0)),"")</f>
        <v>197.37200000000001</v>
      </c>
      <c r="E424" s="146" t="s">
        <v>681</v>
      </c>
      <c r="G424" s="4" t="str">
        <f>IF($A$436 &lt;&gt; "",$A$436, "")</f>
        <v>MR9133</v>
      </c>
      <c r="H424" s="4">
        <f>IF($B$436 &lt;&gt; "",$B$436, "")</f>
        <v>5014.8639999999996</v>
      </c>
      <c r="I424" s="4">
        <f>IF($C$436 &lt;&gt; "",$C$436, "")</f>
        <v>10071.85</v>
      </c>
      <c r="J424" s="4">
        <f>IF($D$436 &lt;&gt; "",$D$436, "")</f>
        <v>197.518</v>
      </c>
      <c r="K424" s="156">
        <f>AVERAGE($H$424,$H$425)</f>
        <v>5014.8644999999997</v>
      </c>
      <c r="L424" s="156">
        <f>AVERAGE($I$424,$I$425)</f>
        <v>10071.8495</v>
      </c>
      <c r="M424" s="156">
        <f>AVERAGE($J$424,$J$425)</f>
        <v>197.51400000000001</v>
      </c>
      <c r="N424" s="156"/>
      <c r="O424" s="158">
        <f>$O$419</f>
        <v>137.08668801652894</v>
      </c>
      <c r="P424" s="156"/>
    </row>
    <row r="425" spans="1:16" x14ac:dyDescent="0.2">
      <c r="A425" s="142" t="s">
        <v>683</v>
      </c>
      <c r="B425" s="143">
        <f>_xlfn.IFNA(INDEX(Table_INPUT_2D[X],MATCH(Table8[[#This Row],[UID]],Table_INPUT_2D[Unique ID],0)),"")</f>
        <v>5018.518</v>
      </c>
      <c r="C425" s="145">
        <f>_xlfn.IFNA(INDEX(Table_INPUT_2D[Y],MATCH(Table8[[#This Row],[UID]],Table_INPUT_2D[Unique ID],0)),"")</f>
        <v>10012.828</v>
      </c>
      <c r="D425" s="144">
        <f>_xlfn.IFNA(INDEX(Table_INPUT_2D[Z],MATCH(Table8[[#This Row],[UID]],Table_INPUT_2D[Unique ID],0)),"")</f>
        <v>197.03100000000001</v>
      </c>
      <c r="E425" s="146" t="s">
        <v>682</v>
      </c>
      <c r="G425" s="4" t="str">
        <f>IF($A$437 &lt;&gt; "",$A$437, "")</f>
        <v>MR9133</v>
      </c>
      <c r="H425" s="4">
        <f>IF($B$437 &lt;&gt; "",$B$437, "")</f>
        <v>5014.8649999999998</v>
      </c>
      <c r="I425" s="4">
        <f>IF($C$437 &lt;&gt; "",$C$437, "")</f>
        <v>10071.849</v>
      </c>
      <c r="J425" s="4">
        <f>IF($D$437 &lt;&gt; "",$D$437, "")</f>
        <v>197.51</v>
      </c>
      <c r="K425" s="156"/>
      <c r="L425" s="156"/>
      <c r="M425" s="156"/>
      <c r="N425" s="156"/>
      <c r="O425" s="158"/>
      <c r="P425" s="156"/>
    </row>
    <row r="426" spans="1:16" x14ac:dyDescent="0.2">
      <c r="A426" s="142" t="s">
        <v>683</v>
      </c>
      <c r="B426" s="143">
        <f>_xlfn.IFNA(INDEX(Table_INPUT_2D[X],MATCH(Table8[[#This Row],[UID]],Table_INPUT_2D[Unique ID],0)),"")</f>
        <v>5018.518</v>
      </c>
      <c r="C426" s="145">
        <f>_xlfn.IFNA(INDEX(Table_INPUT_2D[Y],MATCH(Table8[[#This Row],[UID]],Table_INPUT_2D[Unique ID],0)),"")</f>
        <v>10012.828</v>
      </c>
      <c r="D426" s="144">
        <f>_xlfn.IFNA(INDEX(Table_INPUT_2D[Z],MATCH(Table8[[#This Row],[UID]],Table_INPUT_2D[Unique ID],0)),"")</f>
        <v>197.03</v>
      </c>
      <c r="E426" s="146" t="s">
        <v>684</v>
      </c>
      <c r="G426"/>
      <c r="H426"/>
      <c r="I426"/>
      <c r="J426"/>
      <c r="K426"/>
      <c r="L426"/>
    </row>
    <row r="427" spans="1:16" x14ac:dyDescent="0.2">
      <c r="A427" s="142" t="s">
        <v>686</v>
      </c>
      <c r="B427" s="143">
        <f>_xlfn.IFNA(INDEX(Table_INPUT_2D[X],MATCH(Table8[[#This Row],[UID]],Table_INPUT_2D[Unique ID],0)),"")</f>
        <v>5017.4939999999997</v>
      </c>
      <c r="C427" s="145">
        <f>_xlfn.IFNA(INDEX(Table_INPUT_2D[Y],MATCH(Table8[[#This Row],[UID]],Table_INPUT_2D[Unique ID],0)),"")</f>
        <v>10035.539000000001</v>
      </c>
      <c r="D427" s="144">
        <f>_xlfn.IFNA(INDEX(Table_INPUT_2D[Z],MATCH(Table8[[#This Row],[UID]],Table_INPUT_2D[Unique ID],0)),"")</f>
        <v>197.41399999999999</v>
      </c>
      <c r="E427" s="146" t="s">
        <v>685</v>
      </c>
      <c r="G427"/>
      <c r="H427"/>
      <c r="I427"/>
      <c r="J427"/>
      <c r="K427"/>
      <c r="L427"/>
    </row>
    <row r="428" spans="1:16" x14ac:dyDescent="0.2">
      <c r="A428" s="142" t="s">
        <v>686</v>
      </c>
      <c r="B428" s="143">
        <f>_xlfn.IFNA(INDEX(Table_INPUT_2D[X],MATCH(Table8[[#This Row],[UID]],Table_INPUT_2D[Unique ID],0)),"")</f>
        <v>5017.4939999999997</v>
      </c>
      <c r="C428" s="145">
        <f>_xlfn.IFNA(INDEX(Table_INPUT_2D[Y],MATCH(Table8[[#This Row],[UID]],Table_INPUT_2D[Unique ID],0)),"")</f>
        <v>10035.540000000001</v>
      </c>
      <c r="D428" s="144">
        <f>_xlfn.IFNA(INDEX(Table_INPUT_2D[Z],MATCH(Table8[[#This Row],[UID]],Table_INPUT_2D[Unique ID],0)),"")</f>
        <v>197.417</v>
      </c>
      <c r="E428" s="146" t="s">
        <v>687</v>
      </c>
      <c r="G428"/>
      <c r="H428"/>
      <c r="I428"/>
      <c r="J428"/>
      <c r="K428"/>
      <c r="L428"/>
    </row>
    <row r="429" spans="1:16" x14ac:dyDescent="0.2">
      <c r="A429" s="142" t="s">
        <v>689</v>
      </c>
      <c r="B429" s="143">
        <f>_xlfn.IFNA(INDEX(Table_INPUT_2D[X],MATCH(Table8[[#This Row],[UID]],Table_INPUT_2D[Unique ID],0)),"")</f>
        <v>5016.0990000000002</v>
      </c>
      <c r="C429" s="145">
        <f>_xlfn.IFNA(INDEX(Table_INPUT_2D[Y],MATCH(Table8[[#This Row],[UID]],Table_INPUT_2D[Unique ID],0)),"")</f>
        <v>10056.526</v>
      </c>
      <c r="D429" s="144">
        <f>_xlfn.IFNA(INDEX(Table_INPUT_2D[Z],MATCH(Table8[[#This Row],[UID]],Table_INPUT_2D[Unique ID],0)),"")</f>
        <v>197.554</v>
      </c>
      <c r="E429" s="146" t="s">
        <v>688</v>
      </c>
      <c r="G429"/>
      <c r="H429"/>
      <c r="I429"/>
      <c r="J429"/>
      <c r="K429"/>
      <c r="L429"/>
    </row>
    <row r="430" spans="1:16" x14ac:dyDescent="0.2">
      <c r="A430" s="142" t="s">
        <v>689</v>
      </c>
      <c r="B430" s="143">
        <f>_xlfn.IFNA(INDEX(Table_INPUT_2D[X],MATCH(Table8[[#This Row],[UID]],Table_INPUT_2D[Unique ID],0)),"")</f>
        <v>5016.0969999999998</v>
      </c>
      <c r="C430" s="145">
        <f>_xlfn.IFNA(INDEX(Table_INPUT_2D[Y],MATCH(Table8[[#This Row],[UID]],Table_INPUT_2D[Unique ID],0)),"")</f>
        <v>10056.526</v>
      </c>
      <c r="D430" s="144">
        <f>_xlfn.IFNA(INDEX(Table_INPUT_2D[Z],MATCH(Table8[[#This Row],[UID]],Table_INPUT_2D[Unique ID],0)),"")</f>
        <v>197.55199999999999</v>
      </c>
      <c r="E430" s="146" t="s">
        <v>690</v>
      </c>
      <c r="G430"/>
      <c r="H430"/>
      <c r="I430"/>
      <c r="J430"/>
      <c r="K430"/>
      <c r="L430"/>
    </row>
    <row r="431" spans="1:16" x14ac:dyDescent="0.2">
      <c r="A431" s="142" t="s">
        <v>692</v>
      </c>
      <c r="B431" s="143">
        <f>_xlfn.IFNA(INDEX(Table_INPUT_2D[X],MATCH(Table8[[#This Row],[UID]],Table_INPUT_2D[Unique ID],0)),"")</f>
        <v>5014.8639999999996</v>
      </c>
      <c r="C431" s="145">
        <f>_xlfn.IFNA(INDEX(Table_INPUT_2D[Y],MATCH(Table8[[#This Row],[UID]],Table_INPUT_2D[Unique ID],0)),"")</f>
        <v>10071.849</v>
      </c>
      <c r="D431" s="144">
        <f>_xlfn.IFNA(INDEX(Table_INPUT_2D[Z],MATCH(Table8[[#This Row],[UID]],Table_INPUT_2D[Unique ID],0)),"")</f>
        <v>197.51</v>
      </c>
      <c r="E431" s="146" t="s">
        <v>691</v>
      </c>
      <c r="G431"/>
      <c r="H431"/>
      <c r="I431"/>
      <c r="J431"/>
      <c r="K431"/>
      <c r="L431"/>
    </row>
    <row r="432" spans="1:16" x14ac:dyDescent="0.2">
      <c r="A432" s="142" t="s">
        <v>692</v>
      </c>
      <c r="B432" s="143">
        <f>_xlfn.IFNA(INDEX(Table_INPUT_2D[X],MATCH(Table8[[#This Row],[UID]],Table_INPUT_2D[Unique ID],0)),"")</f>
        <v>5014.8639999999996</v>
      </c>
      <c r="C432" s="145">
        <f>_xlfn.IFNA(INDEX(Table_INPUT_2D[Y],MATCH(Table8[[#This Row],[UID]],Table_INPUT_2D[Unique ID],0)),"")</f>
        <v>10071.849</v>
      </c>
      <c r="D432" s="144">
        <f>_xlfn.IFNA(INDEX(Table_INPUT_2D[Z],MATCH(Table8[[#This Row],[UID]],Table_INPUT_2D[Unique ID],0)),"")</f>
        <v>197.517</v>
      </c>
      <c r="E432" s="146" t="s">
        <v>693</v>
      </c>
      <c r="G432"/>
      <c r="H432"/>
      <c r="I432"/>
      <c r="J432"/>
      <c r="K432"/>
      <c r="L432"/>
    </row>
    <row r="433" spans="1:12" x14ac:dyDescent="0.2">
      <c r="A433" s="142" t="s">
        <v>21</v>
      </c>
      <c r="B433" s="143" t="str">
        <f>_xlfn.IFNA(INDEX(Table_INPUT_2D[X],MATCH(Table8[[#This Row],[UID]],Table_INPUT_2D[Unique ID],0)),"")</f>
        <v/>
      </c>
      <c r="C433" s="145" t="str">
        <f>_xlfn.IFNA(INDEX(Table_INPUT_2D[Y],MATCH(Table8[[#This Row],[UID]],Table_INPUT_2D[Unique ID],0)),"")</f>
        <v/>
      </c>
      <c r="D433" s="144" t="str">
        <f>_xlfn.IFNA(INDEX(Table_INPUT_2D[Z],MATCH(Table8[[#This Row],[UID]],Table_INPUT_2D[Unique ID],0)),"")</f>
        <v/>
      </c>
      <c r="E433" s="146"/>
      <c r="G433"/>
      <c r="H433"/>
      <c r="I433"/>
      <c r="J433"/>
      <c r="K433"/>
      <c r="L433"/>
    </row>
    <row r="434" spans="1:12" x14ac:dyDescent="0.2">
      <c r="A434" s="142" t="s">
        <v>658</v>
      </c>
      <c r="B434" s="143">
        <f>_xlfn.IFNA(INDEX(Table_INPUT_2D[X],MATCH(Table8[[#This Row],[UID]],Table_INPUT_2D[Unique ID],0)),"")</f>
        <v>5025.9719999999998</v>
      </c>
      <c r="C434" s="145">
        <f>_xlfn.IFNA(INDEX(Table_INPUT_2D[Y],MATCH(Table8[[#This Row],[UID]],Table_INPUT_2D[Unique ID],0)),"")</f>
        <v>9894.5370000000003</v>
      </c>
      <c r="D434" s="144">
        <f>_xlfn.IFNA(INDEX(Table_INPUT_2D[Z],MATCH(Table8[[#This Row],[UID]],Table_INPUT_2D[Unique ID],0)),"")</f>
        <v>199.70400000000001</v>
      </c>
      <c r="E434" s="146" t="s">
        <v>665</v>
      </c>
      <c r="G434"/>
      <c r="H434"/>
      <c r="I434"/>
      <c r="J434"/>
      <c r="K434"/>
      <c r="L434"/>
    </row>
    <row r="435" spans="1:12" x14ac:dyDescent="0.2">
      <c r="A435" s="142" t="s">
        <v>658</v>
      </c>
      <c r="B435" s="143">
        <f>_xlfn.IFNA(INDEX(Table_INPUT_2D[X],MATCH(Table8[[#This Row],[UID]],Table_INPUT_2D[Unique ID],0)),"")</f>
        <v>5025.9719999999998</v>
      </c>
      <c r="C435" s="145">
        <f>_xlfn.IFNA(INDEX(Table_INPUT_2D[Y],MATCH(Table8[[#This Row],[UID]],Table_INPUT_2D[Unique ID],0)),"")</f>
        <v>9894.5360000000001</v>
      </c>
      <c r="D435" s="144">
        <f>_xlfn.IFNA(INDEX(Table_INPUT_2D[Z],MATCH(Table8[[#This Row],[UID]],Table_INPUT_2D[Unique ID],0)),"")</f>
        <v>199.69499999999999</v>
      </c>
      <c r="E435" s="146" t="s">
        <v>666</v>
      </c>
    </row>
    <row r="436" spans="1:12" x14ac:dyDescent="0.2">
      <c r="A436" s="142" t="s">
        <v>692</v>
      </c>
      <c r="B436" s="143">
        <f>_xlfn.IFNA(INDEX(Table_INPUT_2D[X],MATCH(Table8[[#This Row],[UID]],Table_INPUT_2D[Unique ID],0)),"")</f>
        <v>5014.8639999999996</v>
      </c>
      <c r="C436" s="145">
        <f>_xlfn.IFNA(INDEX(Table_INPUT_2D[Y],MATCH(Table8[[#This Row],[UID]],Table_INPUT_2D[Unique ID],0)),"")</f>
        <v>10071.85</v>
      </c>
      <c r="D436" s="144">
        <f>_xlfn.IFNA(INDEX(Table_INPUT_2D[Z],MATCH(Table8[[#This Row],[UID]],Table_INPUT_2D[Unique ID],0)),"")</f>
        <v>197.518</v>
      </c>
      <c r="E436" s="146" t="s">
        <v>694</v>
      </c>
    </row>
    <row r="437" spans="1:12" x14ac:dyDescent="0.2">
      <c r="A437" s="142" t="s">
        <v>692</v>
      </c>
      <c r="B437" s="143">
        <f>_xlfn.IFNA(INDEX(Table_INPUT_2D[X],MATCH(Table8[[#This Row],[UID]],Table_INPUT_2D[Unique ID],0)),"")</f>
        <v>5014.8649999999998</v>
      </c>
      <c r="C437" s="145">
        <f>_xlfn.IFNA(INDEX(Table_INPUT_2D[Y],MATCH(Table8[[#This Row],[UID]],Table_INPUT_2D[Unique ID],0)),"")</f>
        <v>10071.849</v>
      </c>
      <c r="D437" s="144">
        <f>_xlfn.IFNA(INDEX(Table_INPUT_2D[Z],MATCH(Table8[[#This Row],[UID]],Table_INPUT_2D[Unique ID],0)),"")</f>
        <v>197.51</v>
      </c>
      <c r="E437" s="146" t="s">
        <v>695</v>
      </c>
    </row>
    <row r="438" spans="1:12" x14ac:dyDescent="0.2">
      <c r="A438" s="142" t="s">
        <v>22</v>
      </c>
      <c r="B438" s="195" t="str">
        <f>_xlfn.IFNA(INDEX(Table_INPUT_2D[X],MATCH(Table8[[#This Row],[UID]],Table_INPUT_2D[Unique ID],0)),"")</f>
        <v/>
      </c>
      <c r="C438" s="196" t="str">
        <f>_xlfn.IFNA(INDEX(Table_INPUT_2D[Y],MATCH(Table8[[#This Row],[UID]],Table_INPUT_2D[Unique ID],0)),"")</f>
        <v/>
      </c>
      <c r="D438" s="196" t="str">
        <f>_xlfn.IFNA(INDEX(Table_INPUT_2D[Z],MATCH(Table8[[#This Row],[UID]],Table_INPUT_2D[Unique ID],0)),"")</f>
        <v/>
      </c>
      <c r="E438" s="146"/>
    </row>
    <row r="439" spans="1:12" x14ac:dyDescent="0.2">
      <c r="A439" s="142" t="s">
        <v>747</v>
      </c>
      <c r="B439" s="195">
        <f>_xlfn.IFNA(INDEX(Table_INPUT_2D[X],MATCH(Table8[[#This Row],[UID]],Table_INPUT_2D[Unique ID],0)),"")</f>
        <v>5034.6629999999996</v>
      </c>
      <c r="C439" s="196">
        <f>_xlfn.IFNA(INDEX(Table_INPUT_2D[Y],MATCH(Table8[[#This Row],[UID]],Table_INPUT_2D[Unique ID],0)),"")</f>
        <v>9938.2669999999998</v>
      </c>
      <c r="D439" s="196">
        <f>_xlfn.IFNA(INDEX(Table_INPUT_2D[Z],MATCH(Table8[[#This Row],[UID]],Table_INPUT_2D[Unique ID],0)),"")</f>
        <v>196.887</v>
      </c>
      <c r="E439" s="146" t="s">
        <v>742</v>
      </c>
    </row>
    <row r="440" spans="1:12" x14ac:dyDescent="0.2">
      <c r="A440" s="142" t="s">
        <v>748</v>
      </c>
      <c r="B440" s="195">
        <f>_xlfn.IFNA(INDEX(Table_INPUT_2D[X],MATCH(Table8[[#This Row],[UID]],Table_INPUT_2D[Unique ID],0)),"")</f>
        <v>5034.6629999999996</v>
      </c>
      <c r="C440" s="197">
        <f>_xlfn.IFNA(INDEX(Table_INPUT_2D[Y],MATCH(Table8[[#This Row],[UID]],Table_INPUT_2D[Unique ID],0)),"")</f>
        <v>9938.2659999999996</v>
      </c>
      <c r="D440" s="196">
        <f>_xlfn.IFNA(INDEX(Table_INPUT_2D[Z],MATCH(Table8[[#This Row],[UID]],Table_INPUT_2D[Unique ID],0)),"")</f>
        <v>196.89400000000001</v>
      </c>
      <c r="E440" s="146" t="s">
        <v>743</v>
      </c>
    </row>
    <row r="441" spans="1:12" x14ac:dyDescent="0.2">
      <c r="A441" s="142" t="s">
        <v>749</v>
      </c>
      <c r="B441" s="195">
        <f>_xlfn.IFNA(INDEX(Table_INPUT_2D[X],MATCH(Table8[[#This Row],[UID]],Table_INPUT_2D[Unique ID],0)),"")</f>
        <v>5023.451</v>
      </c>
      <c r="C441" s="197">
        <f>_xlfn.IFNA(INDEX(Table_INPUT_2D[Y],MATCH(Table8[[#This Row],[UID]],Table_INPUT_2D[Unique ID],0)),"")</f>
        <v>9976.4549999999999</v>
      </c>
      <c r="D441" s="196">
        <f>_xlfn.IFNA(INDEX(Table_INPUT_2D[Z],MATCH(Table8[[#This Row],[UID]],Table_INPUT_2D[Unique ID],0)),"")</f>
        <v>196.83500000000001</v>
      </c>
      <c r="E441" s="146" t="s">
        <v>738</v>
      </c>
    </row>
    <row r="442" spans="1:12" x14ac:dyDescent="0.2">
      <c r="A442" s="142" t="s">
        <v>750</v>
      </c>
      <c r="B442" s="195">
        <f>_xlfn.IFNA(INDEX(Table_INPUT_2D[X],MATCH(Table8[[#This Row],[UID]],Table_INPUT_2D[Unique ID],0)),"")</f>
        <v>5023.451</v>
      </c>
      <c r="C442" s="197">
        <f>_xlfn.IFNA(INDEX(Table_INPUT_2D[Y],MATCH(Table8[[#This Row],[UID]],Table_INPUT_2D[Unique ID],0)),"")</f>
        <v>9976.4549999999999</v>
      </c>
      <c r="D442" s="196">
        <f>_xlfn.IFNA(INDEX(Table_INPUT_2D[Z],MATCH(Table8[[#This Row],[UID]],Table_INPUT_2D[Unique ID],0)),"")</f>
        <v>196.83699999999999</v>
      </c>
      <c r="E442" s="146" t="s">
        <v>739</v>
      </c>
    </row>
    <row r="443" spans="1:12" x14ac:dyDescent="0.2">
      <c r="A443" s="142" t="s">
        <v>21</v>
      </c>
      <c r="B443" s="195" t="str">
        <f>_xlfn.IFNA(INDEX(Table_INPUT_2D[X],MATCH(Table8[[#This Row],[UID]],Table_INPUT_2D[Unique ID],0)),"")</f>
        <v/>
      </c>
      <c r="C443" s="197" t="str">
        <f>_xlfn.IFNA(INDEX(Table_INPUT_2D[Y],MATCH(Table8[[#This Row],[UID]],Table_INPUT_2D[Unique ID],0)),"")</f>
        <v/>
      </c>
      <c r="D443" s="196" t="str">
        <f>_xlfn.IFNA(INDEX(Table_INPUT_2D[Z],MATCH(Table8[[#This Row],[UID]],Table_INPUT_2D[Unique ID],0)),"")</f>
        <v/>
      </c>
      <c r="E443" s="146"/>
    </row>
    <row r="444" spans="1:12" x14ac:dyDescent="0.2">
      <c r="A444" s="142" t="s">
        <v>751</v>
      </c>
      <c r="B444" s="195">
        <f>_xlfn.IFNA(INDEX(Table_INPUT_2D[X],MATCH(Table8[[#This Row],[UID]],Table_INPUT_2D[Unique ID],0)),"")</f>
        <v>5023.451</v>
      </c>
      <c r="C444" s="197">
        <f>_xlfn.IFNA(INDEX(Table_INPUT_2D[Y],MATCH(Table8[[#This Row],[UID]],Table_INPUT_2D[Unique ID],0)),"")</f>
        <v>9976.4549999999999</v>
      </c>
      <c r="D444" s="196">
        <f>_xlfn.IFNA(INDEX(Table_INPUT_2D[Z],MATCH(Table8[[#This Row],[UID]],Table_INPUT_2D[Unique ID],0)),"")</f>
        <v>196.83699999999999</v>
      </c>
      <c r="E444" s="146" t="s">
        <v>740</v>
      </c>
    </row>
    <row r="445" spans="1:12" x14ac:dyDescent="0.2">
      <c r="A445" s="142" t="s">
        <v>752</v>
      </c>
      <c r="B445" s="195">
        <f>_xlfn.IFNA(INDEX(Table_INPUT_2D[X],MATCH(Table8[[#This Row],[UID]],Table_INPUT_2D[Unique ID],0)),"")</f>
        <v>5023.451</v>
      </c>
      <c r="C445" s="197">
        <f>_xlfn.IFNA(INDEX(Table_INPUT_2D[Y],MATCH(Table8[[#This Row],[UID]],Table_INPUT_2D[Unique ID],0)),"")</f>
        <v>9976.4560000000001</v>
      </c>
      <c r="D445" s="196">
        <f>_xlfn.IFNA(INDEX(Table_INPUT_2D[Z],MATCH(Table8[[#This Row],[UID]],Table_INPUT_2D[Unique ID],0)),"")</f>
        <v>196.834</v>
      </c>
      <c r="E445" s="146" t="s">
        <v>741</v>
      </c>
    </row>
    <row r="446" spans="1:12" x14ac:dyDescent="0.2">
      <c r="A446" s="142" t="s">
        <v>753</v>
      </c>
      <c r="B446" s="195">
        <f>_xlfn.IFNA(INDEX(Table_INPUT_2D[X],MATCH(Table8[[#This Row],[UID]],Table_INPUT_2D[Unique ID],0)),"")</f>
        <v>5034.6629999999996</v>
      </c>
      <c r="C446" s="197">
        <f>_xlfn.IFNA(INDEX(Table_INPUT_2D[Y],MATCH(Table8[[#This Row],[UID]],Table_INPUT_2D[Unique ID],0)),"")</f>
        <v>9938.2659999999996</v>
      </c>
      <c r="D446" s="196">
        <f>_xlfn.IFNA(INDEX(Table_INPUT_2D[Z],MATCH(Table8[[#This Row],[UID]],Table_INPUT_2D[Unique ID],0)),"")</f>
        <v>196.89500000000001</v>
      </c>
      <c r="E446" s="146" t="s">
        <v>744</v>
      </c>
    </row>
    <row r="447" spans="1:12" x14ac:dyDescent="0.2">
      <c r="A447" s="142" t="s">
        <v>754</v>
      </c>
      <c r="B447" s="195">
        <f>_xlfn.IFNA(INDEX(Table_INPUT_2D[X],MATCH(Table8[[#This Row],[UID]],Table_INPUT_2D[Unique ID],0)),"")</f>
        <v>5034.6639999999998</v>
      </c>
      <c r="C447" s="197">
        <f>_xlfn.IFNA(INDEX(Table_INPUT_2D[Y],MATCH(Table8[[#This Row],[UID]],Table_INPUT_2D[Unique ID],0)),"")</f>
        <v>9938.2669999999998</v>
      </c>
      <c r="D447" s="196">
        <f>_xlfn.IFNA(INDEX(Table_INPUT_2D[Z],MATCH(Table8[[#This Row],[UID]],Table_INPUT_2D[Unique ID],0)),"")</f>
        <v>196.887</v>
      </c>
      <c r="E447" s="146" t="s">
        <v>745</v>
      </c>
    </row>
  </sheetData>
  <sortState ref="A199:D200">
    <sortCondition ref="A27"/>
  </sortState>
  <mergeCells count="3">
    <mergeCell ref="N21:O21"/>
    <mergeCell ref="Q21:R21"/>
    <mergeCell ref="AJ23:AL23"/>
  </mergeCells>
  <phoneticPr fontId="4" type="noConversion"/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CD87-5225-40E4-8A7F-7A59B4892CAD}">
  <sheetPr codeName="Sheet6">
    <tabColor indexed="50"/>
  </sheetPr>
  <dimension ref="A1:AO415"/>
  <sheetViews>
    <sheetView zoomScale="91" zoomScaleNormal="91" workbookViewId="0"/>
  </sheetViews>
  <sheetFormatPr defaultColWidth="9.140625" defaultRowHeight="12.75" x14ac:dyDescent="0.2"/>
  <cols>
    <col min="1" max="1" width="17.28515625" style="20" bestFit="1" customWidth="1"/>
    <col min="2" max="2" width="16.28515625" style="20" bestFit="1" customWidth="1"/>
    <col min="3" max="3" width="18" style="20" bestFit="1" customWidth="1"/>
    <col min="4" max="4" width="18.5703125" style="20" bestFit="1" customWidth="1"/>
    <col min="5" max="5" width="23.5703125" style="20" bestFit="1" customWidth="1"/>
    <col min="6" max="9" width="14.5703125" style="2" customWidth="1"/>
    <col min="10" max="10" width="17.85546875" style="2" customWidth="1"/>
    <col min="11" max="11" width="14.5703125" style="2" customWidth="1"/>
    <col min="12" max="12" width="18.7109375" style="2" customWidth="1"/>
    <col min="13" max="13" width="14.5703125" style="2" customWidth="1"/>
    <col min="14" max="14" width="16.28515625" style="2" bestFit="1" customWidth="1"/>
    <col min="15" max="15" width="11.85546875" style="2" bestFit="1" customWidth="1"/>
    <col min="16" max="16" width="14.5703125" style="2" customWidth="1"/>
    <col min="17" max="17" width="17.85546875" style="2" bestFit="1" customWidth="1"/>
    <col min="18" max="20" width="14.5703125" style="14" customWidth="1"/>
    <col min="21" max="21" width="20.7109375" style="22" customWidth="1"/>
    <col min="22" max="26" width="14.5703125" style="14" customWidth="1"/>
    <col min="27" max="27" width="18.85546875" style="14" customWidth="1"/>
    <col min="28" max="28" width="19.5703125" style="14" customWidth="1"/>
    <col min="29" max="245" width="14.5703125" style="2" customWidth="1"/>
    <col min="246" max="16384" width="9.140625" style="2"/>
  </cols>
  <sheetData>
    <row r="1" spans="1:32" x14ac:dyDescent="0.2">
      <c r="A1" s="2"/>
      <c r="B1" s="2"/>
      <c r="C1" s="2"/>
      <c r="D1" s="2"/>
      <c r="E1" s="2"/>
    </row>
    <row r="2" spans="1:32" ht="23.25" x14ac:dyDescent="0.35">
      <c r="A2" s="15" t="str">
        <f>Input!A2</f>
        <v>2D Calculations and Reductions for AA9 Menangle Road (Telstra Optic Fibre Line)</v>
      </c>
      <c r="B2" s="15"/>
      <c r="C2" s="2"/>
      <c r="D2" s="2"/>
      <c r="E2" s="2"/>
    </row>
    <row r="3" spans="1:32" x14ac:dyDescent="0.2">
      <c r="B3" s="57"/>
      <c r="C3" s="55"/>
      <c r="D3" s="56"/>
      <c r="E3" s="57"/>
    </row>
    <row r="4" spans="1:32" ht="21" x14ac:dyDescent="0.35">
      <c r="A4" s="54" t="s">
        <v>359</v>
      </c>
      <c r="B4" s="2"/>
      <c r="C4" s="2"/>
      <c r="D4" s="2"/>
      <c r="E4" s="2"/>
      <c r="H4" s="223" t="s">
        <v>26</v>
      </c>
      <c r="I4" s="223"/>
      <c r="K4" s="223" t="s">
        <v>27</v>
      </c>
      <c r="L4" s="223"/>
      <c r="Q4" s="136" t="s">
        <v>14</v>
      </c>
      <c r="R4" s="17">
        <v>1</v>
      </c>
      <c r="S4" s="2"/>
      <c r="T4" s="2"/>
      <c r="U4" s="2"/>
      <c r="V4" s="2"/>
      <c r="W4" s="2"/>
      <c r="X4" s="2"/>
      <c r="Y4" s="2"/>
      <c r="Z4" s="2"/>
      <c r="AA4" s="2"/>
      <c r="AB4" s="2"/>
    </row>
    <row r="5" spans="1:32" x14ac:dyDescent="0.2">
      <c r="A5" s="2"/>
      <c r="B5" s="2"/>
      <c r="C5" s="2"/>
      <c r="D5" s="2"/>
      <c r="E5" s="2"/>
      <c r="H5" s="136" t="s">
        <v>23</v>
      </c>
      <c r="I5" s="46" t="s">
        <v>469</v>
      </c>
      <c r="K5" s="136" t="s">
        <v>23</v>
      </c>
      <c r="L5" s="46" t="s">
        <v>514</v>
      </c>
      <c r="Q5" s="136" t="s">
        <v>15</v>
      </c>
      <c r="R5" s="153">
        <f>$L$6-$S$22</f>
        <v>-3.8717716941505387E-3</v>
      </c>
      <c r="S5" s="2"/>
      <c r="T5" s="2"/>
      <c r="U5" s="2"/>
      <c r="V5" s="2"/>
      <c r="W5" s="2"/>
      <c r="X5" s="2"/>
      <c r="Y5" s="2"/>
      <c r="Z5" s="2"/>
      <c r="AA5" s="2"/>
      <c r="AB5" s="2"/>
    </row>
    <row r="6" spans="1:32" ht="26.25" x14ac:dyDescent="0.4">
      <c r="A6" s="2"/>
      <c r="B6" s="2"/>
      <c r="C6" s="2"/>
      <c r="D6" s="2"/>
      <c r="E6" s="2"/>
      <c r="H6" s="136" t="s">
        <v>24</v>
      </c>
      <c r="I6" s="47">
        <f>'Survey Data'!AG116</f>
        <v>186.10370092975236</v>
      </c>
      <c r="K6" s="136" t="s">
        <v>24</v>
      </c>
      <c r="L6" s="70">
        <f>'Survey Data'!AK114</f>
        <v>173.90882915805818</v>
      </c>
      <c r="Q6" s="136" t="s">
        <v>16</v>
      </c>
      <c r="R6" s="18">
        <f>$R$5/$R$4</f>
        <v>-3.8717716941505387E-3</v>
      </c>
      <c r="S6" s="2"/>
      <c r="T6" s="2"/>
      <c r="U6" s="2"/>
      <c r="V6" s="2"/>
      <c r="W6" s="2"/>
      <c r="X6" s="2"/>
      <c r="Y6" s="224" t="s">
        <v>705</v>
      </c>
      <c r="Z6" s="224"/>
      <c r="AA6" s="224"/>
      <c r="AB6" s="2"/>
    </row>
    <row r="7" spans="1:32" x14ac:dyDescent="0.2">
      <c r="A7" s="2"/>
      <c r="B7" s="2"/>
      <c r="C7" s="2"/>
      <c r="D7" s="136"/>
      <c r="E7" s="57"/>
      <c r="F7" s="57"/>
      <c r="G7" s="57"/>
      <c r="H7" s="57"/>
      <c r="M7" s="136"/>
      <c r="N7" s="18"/>
      <c r="R7" s="2"/>
      <c r="S7" s="2"/>
      <c r="T7" s="2"/>
      <c r="U7" s="14"/>
      <c r="V7" s="2"/>
      <c r="W7" s="2"/>
      <c r="X7" s="2"/>
      <c r="Y7" s="2"/>
      <c r="Z7" s="2"/>
      <c r="AA7" s="2"/>
      <c r="AB7" s="2"/>
    </row>
    <row r="8" spans="1:32" ht="13.5" thickBot="1" x14ac:dyDescent="0.25">
      <c r="A8" s="59" t="s">
        <v>0</v>
      </c>
      <c r="B8" s="60" t="s">
        <v>1</v>
      </c>
      <c r="C8" s="60" t="s">
        <v>2</v>
      </c>
      <c r="D8" s="60" t="s">
        <v>3</v>
      </c>
      <c r="E8" s="60" t="s">
        <v>43</v>
      </c>
      <c r="G8" s="21" t="s">
        <v>7</v>
      </c>
      <c r="H8" s="21" t="s">
        <v>8</v>
      </c>
      <c r="I8" s="21" t="s">
        <v>9</v>
      </c>
      <c r="J8" s="21" t="s">
        <v>10</v>
      </c>
      <c r="K8" s="21" t="s">
        <v>4</v>
      </c>
      <c r="L8" s="21" t="s">
        <v>5</v>
      </c>
      <c r="M8" s="21" t="s">
        <v>6</v>
      </c>
      <c r="N8" s="21" t="s">
        <v>11</v>
      </c>
      <c r="O8" s="21">
        <f>$O$10+(-$N$9)</f>
        <v>186.10370092975236</v>
      </c>
      <c r="P8" s="21"/>
      <c r="Q8" s="58" t="s">
        <v>7</v>
      </c>
      <c r="R8" s="58" t="s">
        <v>25</v>
      </c>
      <c r="S8" s="58" t="s">
        <v>17</v>
      </c>
      <c r="T8" s="58" t="s">
        <v>18</v>
      </c>
      <c r="U8" s="58" t="s">
        <v>19</v>
      </c>
      <c r="V8" s="58" t="s">
        <v>700</v>
      </c>
      <c r="W8" s="58" t="s">
        <v>701</v>
      </c>
      <c r="X8" s="58"/>
      <c r="Y8" s="58" t="s">
        <v>7</v>
      </c>
      <c r="Z8" s="58" t="s">
        <v>29</v>
      </c>
      <c r="AA8" s="58" t="s">
        <v>702</v>
      </c>
      <c r="AB8" s="2"/>
    </row>
    <row r="9" spans="1:32" ht="13.5" thickTop="1" x14ac:dyDescent="0.2">
      <c r="A9" s="61" t="s">
        <v>22</v>
      </c>
      <c r="B9" s="62" t="str">
        <f>_xlfn.IFNA(INDEX(Table_INPUT_2D[X],MATCH(Table83[[#This Row],[UID]],Table_INPUT_2D[Unique ID],0)),"")</f>
        <v/>
      </c>
      <c r="C9" s="62" t="str">
        <f>_xlfn.IFNA(INDEX(Table_INPUT_2D[Y],MATCH(Table83[[#This Row],[UID]],Table_INPUT_2D[Unique ID],0)),"")</f>
        <v/>
      </c>
      <c r="D9" s="62" t="str">
        <f>_xlfn.IFNA(INDEX(Table_INPUT_2D[Z],MATCH(Table83[[#This Row],[UID]],Table_INPUT_2D[Unique ID],0)),"")</f>
        <v/>
      </c>
      <c r="E9" s="69"/>
      <c r="G9" s="2" t="str">
        <f>IF($A$9 &lt;&gt; "",$A$9, "")</f>
        <v>STATION</v>
      </c>
      <c r="H9" s="2" t="str">
        <f>IF($B$9 &lt;&gt; "",$B$9, "")</f>
        <v/>
      </c>
      <c r="I9" s="2" t="str">
        <f>IF($C$9 &lt;&gt; "",$C$9, "")</f>
        <v/>
      </c>
      <c r="J9" s="2" t="str">
        <f>IF($D$9 &lt;&gt; "",$D$9, "")</f>
        <v/>
      </c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AB9" s="57"/>
      <c r="AC9" s="57"/>
      <c r="AD9" s="57"/>
      <c r="AE9" s="57"/>
      <c r="AF9" s="57"/>
    </row>
    <row r="10" spans="1:32" x14ac:dyDescent="0.2">
      <c r="A10" s="67" t="s">
        <v>484</v>
      </c>
      <c r="B10" s="64">
        <f>_xlfn.IFNA(INDEX(Table_INPUT_2D[X],MATCH(Table83[[#This Row],[UID]],Table_INPUT_2D[Unique ID],0)),"")</f>
        <v>11316.778</v>
      </c>
      <c r="C10" s="64">
        <f>_xlfn.IFNA(INDEX(Table_INPUT_2D[Y],MATCH(Table83[[#This Row],[UID]],Table_INPUT_2D[Unique ID],0)),"")</f>
        <v>4512.8519999999999</v>
      </c>
      <c r="D10" s="64">
        <f>_xlfn.IFNA(INDEX(Table_INPUT_2D[Z],MATCH(Table83[[#This Row],[UID]],Table_INPUT_2D[Unique ID],0)),"")</f>
        <v>267.25700000000001</v>
      </c>
      <c r="E10" s="65" t="s">
        <v>856</v>
      </c>
      <c r="G10" s="4" t="str">
        <f>IF($A$10 &lt;&gt; "",$A$10, "")</f>
        <v>MR9082A</v>
      </c>
      <c r="H10" s="2">
        <f>IF($B$10 &lt;&gt; "",$B$10, "")</f>
        <v>11316.778</v>
      </c>
      <c r="I10" s="2">
        <f>IF($C$10 &lt;&gt; "",$C$10, "")</f>
        <v>4512.8519999999999</v>
      </c>
      <c r="J10" s="2">
        <f>IF($D$10 &lt;&gt; "",$D$10, "")</f>
        <v>267.25700000000001</v>
      </c>
      <c r="K10" s="56">
        <f>AVERAGE($H$10,$H$11)</f>
        <v>11316.778</v>
      </c>
      <c r="L10" s="56">
        <f>AVERAGE($I$10,$I$11)</f>
        <v>4512.8519999999999</v>
      </c>
      <c r="M10" s="56">
        <f>AVERAGE($J$10,$J$11)</f>
        <v>267.25700000000001</v>
      </c>
      <c r="N10" s="57"/>
      <c r="O10" s="68">
        <f>$I$6</f>
        <v>186.10370092975236</v>
      </c>
      <c r="P10" s="57"/>
      <c r="Q10" s="181" t="s">
        <v>448</v>
      </c>
      <c r="R10" s="57"/>
      <c r="S10" s="57"/>
      <c r="T10" s="57"/>
      <c r="U10" s="57"/>
      <c r="V10" s="57"/>
      <c r="W10" s="57"/>
      <c r="X10" s="57"/>
      <c r="Y10" s="14" t="s">
        <v>7</v>
      </c>
      <c r="Z10" s="14" t="s">
        <v>29</v>
      </c>
      <c r="AA10" s="14" t="s">
        <v>703</v>
      </c>
      <c r="AB10" s="14" t="s">
        <v>704</v>
      </c>
      <c r="AC10" s="57"/>
      <c r="AD10" s="57"/>
      <c r="AE10" s="57"/>
      <c r="AF10" s="57"/>
    </row>
    <row r="11" spans="1:32" x14ac:dyDescent="0.2">
      <c r="A11" s="67" t="s">
        <v>484</v>
      </c>
      <c r="B11" s="64">
        <f>_xlfn.IFNA(INDEX(Table_INPUT_2D[X],MATCH(Table83[[#This Row],[UID]],Table_INPUT_2D[Unique ID],0)),"")</f>
        <v>11316.778</v>
      </c>
      <c r="C11" s="64">
        <f>_xlfn.IFNA(INDEX(Table_INPUT_2D[Y],MATCH(Table83[[#This Row],[UID]],Table_INPUT_2D[Unique ID],0)),"")</f>
        <v>4512.8519999999999</v>
      </c>
      <c r="D11" s="64">
        <f>_xlfn.IFNA(INDEX(Table_INPUT_2D[Z],MATCH(Table83[[#This Row],[UID]],Table_INPUT_2D[Unique ID],0)),"")</f>
        <v>267.25700000000001</v>
      </c>
      <c r="E11" s="65" t="s">
        <v>857</v>
      </c>
      <c r="G11" s="2" t="str">
        <f>IF($A$11 &lt;&gt; "",$A$11, "")</f>
        <v>MR9082A</v>
      </c>
      <c r="H11" s="2">
        <f>IF($B$11 &lt;&gt; "",$B$11, "")</f>
        <v>11316.778</v>
      </c>
      <c r="I11" s="2">
        <f>IF($C$11 &lt;&gt; "",$C$11, "")</f>
        <v>4512.8519999999999</v>
      </c>
      <c r="J11" s="2">
        <f>IF($D$11 &lt;&gt; "",$D$11, "")</f>
        <v>267.25700000000001</v>
      </c>
      <c r="K11" s="56"/>
      <c r="L11" s="56"/>
      <c r="M11" s="56"/>
      <c r="N11" s="57">
        <f>$M$12-$M$10</f>
        <v>3.4529999999999745</v>
      </c>
      <c r="O11" s="56"/>
      <c r="P11" s="155"/>
      <c r="Q11" s="2" t="s">
        <v>484</v>
      </c>
      <c r="R11" s="57">
        <v>0</v>
      </c>
      <c r="S11" s="147">
        <f>$O$15</f>
        <v>186.10370092975236</v>
      </c>
      <c r="T11" s="147">
        <f>$R$6*($R$11/$R$22)</f>
        <v>0</v>
      </c>
      <c r="U11" s="147">
        <f>$S$11-$T$11</f>
        <v>186.10370092975236</v>
      </c>
      <c r="V11" s="147">
        <f>SQRT((K15-K21)^2+(L15-L21)^2)</f>
        <v>19.036330561587299</v>
      </c>
      <c r="W11" s="147"/>
      <c r="X11" s="57"/>
      <c r="Y11" s="108" t="s">
        <v>474</v>
      </c>
      <c r="Z11" s="147">
        <f t="shared" ref="Z11:Z22" si="0">VLOOKUP($Y11,$Q$11:$W$22,5,)</f>
        <v>189.55705290899726</v>
      </c>
      <c r="AA11" s="147">
        <f t="shared" ref="AA11:AA22" si="1">IF(VLOOKUP($Y11,$Q$11:$W$22,6,)=0,"",VLOOKUP($Y11,$Q$11:$W$22,6,))</f>
        <v>17.986930261999738</v>
      </c>
      <c r="AB11" s="126">
        <f t="shared" ref="AB11:AB22" si="2">IF(VLOOKUP($Y11,$Q$11:$W$22,7,)=0,"",VLOOKUP($Y11,$Q$11:$W$22,7,))</f>
        <v>30.168572554894858</v>
      </c>
      <c r="AC11" s="57"/>
      <c r="AD11" s="57"/>
      <c r="AE11" s="57"/>
      <c r="AF11" s="57"/>
    </row>
    <row r="12" spans="1:32" x14ac:dyDescent="0.2">
      <c r="A12" s="67" t="s">
        <v>474</v>
      </c>
      <c r="B12" s="64">
        <f>_xlfn.IFNA(INDEX(Table_INPUT_2D[X],MATCH(Table83[[#This Row],[UID]],Table_INPUT_2D[Unique ID],0)),"")</f>
        <v>11314.486000000001</v>
      </c>
      <c r="C12" s="64">
        <f>_xlfn.IFNA(INDEX(Table_INPUT_2D[Y],MATCH(Table83[[#This Row],[UID]],Table_INPUT_2D[Unique ID],0)),"")</f>
        <v>4482.7700000000004</v>
      </c>
      <c r="D12" s="64">
        <f>_xlfn.IFNA(INDEX(Table_INPUT_2D[Z],MATCH(Table83[[#This Row],[UID]],Table_INPUT_2D[Unique ID],0)),"")</f>
        <v>270.70999999999998</v>
      </c>
      <c r="E12" s="65" t="s">
        <v>473</v>
      </c>
      <c r="G12" s="2" t="str">
        <f>IF($A$12 &lt;&gt; "",$A$12, "")</f>
        <v>MR9082</v>
      </c>
      <c r="H12" s="2">
        <f>IF($B$12 &lt;&gt; "",$B$12, "")</f>
        <v>11314.486000000001</v>
      </c>
      <c r="I12" s="2">
        <f>IF($C$12 &lt;&gt; "",$C$12, "")</f>
        <v>4482.7700000000004</v>
      </c>
      <c r="J12" s="2">
        <f>IF($D$12 &lt;&gt; "",$D$12, "")</f>
        <v>270.70999999999998</v>
      </c>
      <c r="K12" s="56">
        <f>AVERAGE($H$12,$H$13)</f>
        <v>11314.486000000001</v>
      </c>
      <c r="L12" s="56">
        <f>AVERAGE($I$12,$I$13)</f>
        <v>4482.7700000000004</v>
      </c>
      <c r="M12" s="56">
        <f>AVERAGE($J$12,$J$13)</f>
        <v>270.70999999999998</v>
      </c>
      <c r="N12" s="57"/>
      <c r="O12" s="56">
        <f>$O$10+($N$11)</f>
        <v>189.55670092975234</v>
      </c>
      <c r="P12" s="155"/>
      <c r="Q12" s="2" t="s">
        <v>474</v>
      </c>
      <c r="R12" s="57">
        <v>1</v>
      </c>
      <c r="S12" s="147">
        <f>$O$17</f>
        <v>189.55670092975234</v>
      </c>
      <c r="T12" s="147">
        <f>$R$6*($R$12/$R$22)</f>
        <v>-3.5197924492277627E-4</v>
      </c>
      <c r="U12" s="147">
        <f>$S$12-$T$12</f>
        <v>189.55705290899726</v>
      </c>
      <c r="V12" s="147">
        <f>SQRT((K17-K19)^2+(L17-L19)^2)</f>
        <v>17.986930261999738</v>
      </c>
      <c r="W12" s="147">
        <f>SQRT((K17-K15)^2+(L17-L15)^2)</f>
        <v>30.168572554894858</v>
      </c>
      <c r="X12" s="57"/>
      <c r="Y12" s="108" t="s">
        <v>484</v>
      </c>
      <c r="Z12" s="147">
        <f t="shared" si="0"/>
        <v>186.10370092975236</v>
      </c>
      <c r="AA12" s="147">
        <f t="shared" si="1"/>
        <v>19.036330561587299</v>
      </c>
      <c r="AB12" s="147" t="str">
        <f t="shared" si="2"/>
        <v/>
      </c>
      <c r="AC12" s="57"/>
      <c r="AD12" s="57"/>
      <c r="AE12" s="57"/>
      <c r="AF12" s="57"/>
    </row>
    <row r="13" spans="1:32" x14ac:dyDescent="0.2">
      <c r="A13" s="67" t="s">
        <v>474</v>
      </c>
      <c r="B13" s="64">
        <f>_xlfn.IFNA(INDEX(Table_INPUT_2D[X],MATCH(Table83[[#This Row],[UID]],Table_INPUT_2D[Unique ID],0)),"")</f>
        <v>11314.486000000001</v>
      </c>
      <c r="C13" s="64">
        <f>_xlfn.IFNA(INDEX(Table_INPUT_2D[Y],MATCH(Table83[[#This Row],[UID]],Table_INPUT_2D[Unique ID],0)),"")</f>
        <v>4482.7700000000004</v>
      </c>
      <c r="D13" s="64">
        <f>_xlfn.IFNA(INDEX(Table_INPUT_2D[Z],MATCH(Table83[[#This Row],[UID]],Table_INPUT_2D[Unique ID],0)),"")</f>
        <v>270.70999999999998</v>
      </c>
      <c r="E13" s="65" t="s">
        <v>475</v>
      </c>
      <c r="G13" s="2" t="str">
        <f>IF($A13 &lt;&gt; "",$A13, "")</f>
        <v>MR9082</v>
      </c>
      <c r="H13" s="2">
        <f>IF($B13 &lt;&gt; "",$B13, "")</f>
        <v>11314.486000000001</v>
      </c>
      <c r="I13" s="2">
        <f>IF($C13 &lt;&gt; "",$C13, "")</f>
        <v>4482.7700000000004</v>
      </c>
      <c r="J13" s="2">
        <f>IF($D13 &lt;&gt; "",$D13, "")</f>
        <v>270.70999999999998</v>
      </c>
      <c r="K13" s="56"/>
      <c r="L13" s="56"/>
      <c r="M13" s="56"/>
      <c r="N13" s="57">
        <f>$M$14-$M$12</f>
        <v>-270.70999999999998</v>
      </c>
      <c r="O13" s="56"/>
      <c r="P13" s="155"/>
      <c r="Q13" s="2" t="s">
        <v>477</v>
      </c>
      <c r="R13" s="57">
        <v>2</v>
      </c>
      <c r="S13" s="147">
        <f>$O$19</f>
        <v>189.34720092975235</v>
      </c>
      <c r="T13" s="147">
        <f>$R$6*($R$13/$R$22)</f>
        <v>-7.0395848984555255E-4</v>
      </c>
      <c r="U13" s="147">
        <f>$S$13-$T$13</f>
        <v>189.3479048882422</v>
      </c>
      <c r="V13" s="147">
        <f>SQRT((K19-K23)^2+(L19-L23)^2)</f>
        <v>22.303857827738717</v>
      </c>
      <c r="W13" s="147">
        <f>SQRT((K19-K21)^2+(L19-L21)^2)</f>
        <v>29.226194158665148</v>
      </c>
      <c r="X13" s="57"/>
      <c r="Y13" s="57" t="s">
        <v>477</v>
      </c>
      <c r="Z13" s="147">
        <f t="shared" si="0"/>
        <v>189.3479048882422</v>
      </c>
      <c r="AA13" s="147">
        <f t="shared" si="1"/>
        <v>22.303857827738717</v>
      </c>
      <c r="AB13" s="147">
        <f t="shared" si="2"/>
        <v>29.226194158665148</v>
      </c>
      <c r="AC13" s="57"/>
      <c r="AD13" s="57"/>
      <c r="AE13" s="57"/>
      <c r="AF13" s="57"/>
    </row>
    <row r="14" spans="1:32" x14ac:dyDescent="0.2">
      <c r="A14" s="63" t="s">
        <v>22</v>
      </c>
      <c r="B14" s="172" t="str">
        <f>_xlfn.IFNA(INDEX(Table_INPUT_2D[X],MATCH(Table83[[#This Row],[UID]],Table_INPUT_2D[Unique ID],0)),"")</f>
        <v/>
      </c>
      <c r="C14" s="173" t="str">
        <f>_xlfn.IFNA(INDEX(Table_INPUT_2D[Y],MATCH(Table83[[#This Row],[UID]],Table_INPUT_2D[Unique ID],0)),"")</f>
        <v/>
      </c>
      <c r="D14" s="173" t="str">
        <f>_xlfn.IFNA(INDEX(Table_INPUT_2D[Z],MATCH(Table83[[#This Row],[UID]],Table_INPUT_2D[Unique ID],0)),"")</f>
        <v/>
      </c>
      <c r="E14" s="65"/>
      <c r="G14" s="2" t="str">
        <f t="shared" ref="G14:G20" si="3">IF($A14 &lt;&gt; "",$A14, "")</f>
        <v>STATION</v>
      </c>
      <c r="H14" s="2" t="str">
        <f t="shared" ref="H14:H20" si="4">IF($B14 &lt;&gt; "",$B14, "")</f>
        <v/>
      </c>
      <c r="I14" s="2" t="str">
        <f t="shared" ref="I14:I20" si="5">IF($C14 &lt;&gt; "",$C14, "")</f>
        <v/>
      </c>
      <c r="J14" s="2" t="str">
        <f t="shared" ref="J14:J20" si="6">IF($D14 &lt;&gt; "",$D14, "")</f>
        <v/>
      </c>
      <c r="K14" s="56"/>
      <c r="L14" s="56"/>
      <c r="M14" s="56"/>
      <c r="N14" s="57"/>
      <c r="O14" s="56"/>
      <c r="P14" s="155"/>
      <c r="Q14" s="2" t="s">
        <v>491</v>
      </c>
      <c r="R14" s="57">
        <v>3</v>
      </c>
      <c r="S14" s="147">
        <f>$O$21</f>
        <v>188.30570092975231</v>
      </c>
      <c r="T14" s="147">
        <f>$R$6*($R$14/$R$22)</f>
        <v>-1.0559377347683287E-3</v>
      </c>
      <c r="U14" s="147">
        <f>$S$14-$T$14</f>
        <v>188.30675686748708</v>
      </c>
      <c r="V14" s="147">
        <f>SQRT((K21-K25)^2+(L21-L25)^2)</f>
        <v>15.571652874694992</v>
      </c>
      <c r="W14" s="147"/>
      <c r="X14" s="57"/>
      <c r="Y14" s="57" t="s">
        <v>491</v>
      </c>
      <c r="Z14" s="147">
        <f t="shared" si="0"/>
        <v>188.30675686748708</v>
      </c>
      <c r="AA14" s="147">
        <f t="shared" si="1"/>
        <v>15.571652874694992</v>
      </c>
      <c r="AB14" s="147" t="str">
        <f t="shared" si="2"/>
        <v/>
      </c>
      <c r="AC14" s="57"/>
      <c r="AD14" s="57"/>
      <c r="AE14" s="57"/>
      <c r="AF14" s="57"/>
    </row>
    <row r="15" spans="1:32" x14ac:dyDescent="0.2">
      <c r="A15" s="142" t="s">
        <v>484</v>
      </c>
      <c r="B15" s="169">
        <f>_xlfn.IFNA(INDEX(Table_INPUT_2D[X],MATCH(Table83[[#This Row],[UID]],Table_INPUT_2D[Unique ID],0)),"")</f>
        <v>11316.784</v>
      </c>
      <c r="C15" s="170">
        <f>_xlfn.IFNA(INDEX(Table_INPUT_2D[Y],MATCH(Table83[[#This Row],[UID]],Table_INPUT_2D[Unique ID],0)),"")</f>
        <v>4512.8549999999996</v>
      </c>
      <c r="D15" s="170">
        <f>_xlfn.IFNA(INDEX(Table_INPUT_2D[Z],MATCH(Table83[[#This Row],[UID]],Table_INPUT_2D[Unique ID],0)),"")</f>
        <v>267.25700000000001</v>
      </c>
      <c r="E15" s="146" t="s">
        <v>483</v>
      </c>
      <c r="G15" s="2" t="str">
        <f t="shared" si="3"/>
        <v>MR9082A</v>
      </c>
      <c r="H15" s="2">
        <f t="shared" si="4"/>
        <v>11316.784</v>
      </c>
      <c r="I15" s="2">
        <f t="shared" si="5"/>
        <v>4512.8549999999996</v>
      </c>
      <c r="J15" s="2">
        <f t="shared" si="6"/>
        <v>267.25700000000001</v>
      </c>
      <c r="K15" s="56">
        <f>AVERAGE($H$15,$H$16)</f>
        <v>11316.7835</v>
      </c>
      <c r="L15" s="56">
        <f>AVERAGE($I$15,$I$16)</f>
        <v>4512.8539999999994</v>
      </c>
      <c r="M15" s="56">
        <f>AVERAGE($J$15,$J$16)</f>
        <v>267.25800000000004</v>
      </c>
      <c r="N15" s="57"/>
      <c r="O15" s="68">
        <f>$I$6</f>
        <v>186.10370092975236</v>
      </c>
      <c r="P15" s="155"/>
      <c r="Q15" s="2" t="s">
        <v>494</v>
      </c>
      <c r="R15" s="57">
        <v>4</v>
      </c>
      <c r="S15" s="147">
        <f>$O$23</f>
        <v>186.46720092975235</v>
      </c>
      <c r="T15" s="147">
        <f>$R$6*($R$15/$R$22)</f>
        <v>-1.4079169796911051E-3</v>
      </c>
      <c r="U15" s="147">
        <f>$S$15-$T$15</f>
        <v>186.46860884673205</v>
      </c>
      <c r="V15" s="147">
        <f>SQRT((K23-K27)^2+(L23-L27)^2)</f>
        <v>24.635425326143146</v>
      </c>
      <c r="W15" s="147">
        <f>SQRT((K23-K25)^2+(L23-L25)^2)</f>
        <v>29.130972387649571</v>
      </c>
      <c r="X15" s="57"/>
      <c r="Y15" s="57" t="s">
        <v>494</v>
      </c>
      <c r="Z15" s="147">
        <f t="shared" si="0"/>
        <v>186.46860884673205</v>
      </c>
      <c r="AA15" s="147">
        <f t="shared" si="1"/>
        <v>24.635425326143146</v>
      </c>
      <c r="AB15" s="147">
        <f t="shared" si="2"/>
        <v>29.130972387649571</v>
      </c>
      <c r="AC15" s="57"/>
      <c r="AD15" s="57"/>
      <c r="AE15" s="57"/>
      <c r="AF15" s="57"/>
    </row>
    <row r="16" spans="1:32" x14ac:dyDescent="0.2">
      <c r="A16" s="142" t="s">
        <v>484</v>
      </c>
      <c r="B16" s="169">
        <f>_xlfn.IFNA(INDEX(Table_INPUT_2D[X],MATCH(Table83[[#This Row],[UID]],Table_INPUT_2D[Unique ID],0)),"")</f>
        <v>11316.782999999999</v>
      </c>
      <c r="C16" s="171">
        <f>_xlfn.IFNA(INDEX(Table_INPUT_2D[Y],MATCH(Table83[[#This Row],[UID]],Table_INPUT_2D[Unique ID],0)),"")</f>
        <v>4512.8530000000001</v>
      </c>
      <c r="D16" s="170">
        <f>_xlfn.IFNA(INDEX(Table_INPUT_2D[Z],MATCH(Table83[[#This Row],[UID]],Table_INPUT_2D[Unique ID],0)),"")</f>
        <v>267.25900000000001</v>
      </c>
      <c r="E16" s="146" t="s">
        <v>485</v>
      </c>
      <c r="G16" s="2" t="str">
        <f t="shared" si="3"/>
        <v>MR9082A</v>
      </c>
      <c r="H16" s="2">
        <f t="shared" si="4"/>
        <v>11316.782999999999</v>
      </c>
      <c r="I16" s="2">
        <f t="shared" si="5"/>
        <v>4512.8530000000001</v>
      </c>
      <c r="J16" s="2">
        <f t="shared" si="6"/>
        <v>267.25900000000001</v>
      </c>
      <c r="K16" s="56"/>
      <c r="L16" s="56"/>
      <c r="M16" s="56"/>
      <c r="N16" s="57">
        <f>$M$12-$M$10</f>
        <v>3.4529999999999745</v>
      </c>
      <c r="O16" s="56"/>
      <c r="P16" s="155"/>
      <c r="Q16" s="2" t="s">
        <v>497</v>
      </c>
      <c r="R16" s="57">
        <v>5</v>
      </c>
      <c r="S16" s="147">
        <f>$O$25</f>
        <v>188.42770092975232</v>
      </c>
      <c r="T16" s="147">
        <f>$R$6*($R$16/$R$22)</f>
        <v>-1.7598962246138813E-3</v>
      </c>
      <c r="U16" s="147">
        <f>$S$16-$T$16</f>
        <v>188.42946082597695</v>
      </c>
      <c r="V16" s="147">
        <f>SQRT((K25-K29)^2+(L25-L29)^2)</f>
        <v>23.459460788772585</v>
      </c>
      <c r="W16" s="147"/>
      <c r="X16" s="57"/>
      <c r="Y16" s="57" t="s">
        <v>497</v>
      </c>
      <c r="Z16" s="147">
        <f t="shared" si="0"/>
        <v>188.42946082597695</v>
      </c>
      <c r="AA16" s="147">
        <f t="shared" si="1"/>
        <v>23.459460788772585</v>
      </c>
      <c r="AB16" s="147" t="str">
        <f t="shared" si="2"/>
        <v/>
      </c>
      <c r="AC16" s="57"/>
      <c r="AD16" s="57"/>
      <c r="AE16" s="57"/>
      <c r="AF16" s="57"/>
    </row>
    <row r="17" spans="1:41" x14ac:dyDescent="0.2">
      <c r="A17" s="142" t="s">
        <v>474</v>
      </c>
      <c r="B17" s="169">
        <f>_xlfn.IFNA(INDEX(Table_INPUT_2D[X],MATCH(Table83[[#This Row],[UID]],Table_INPUT_2D[Unique ID],0)),"")</f>
        <v>11314.486999999999</v>
      </c>
      <c r="C17" s="171">
        <f>_xlfn.IFNA(INDEX(Table_INPUT_2D[Y],MATCH(Table83[[#This Row],[UID]],Table_INPUT_2D[Unique ID],0)),"")</f>
        <v>4482.7700000000004</v>
      </c>
      <c r="D17" s="170">
        <f>_xlfn.IFNA(INDEX(Table_INPUT_2D[Z],MATCH(Table83[[#This Row],[UID]],Table_INPUT_2D[Unique ID],0)),"")</f>
        <v>270.70800000000003</v>
      </c>
      <c r="E17" s="146" t="s">
        <v>481</v>
      </c>
      <c r="G17" s="2" t="str">
        <f t="shared" si="3"/>
        <v>MR9082</v>
      </c>
      <c r="H17" s="2">
        <f t="shared" si="4"/>
        <v>11314.486999999999</v>
      </c>
      <c r="I17" s="2">
        <f t="shared" si="5"/>
        <v>4482.7700000000004</v>
      </c>
      <c r="J17" s="2">
        <f t="shared" si="6"/>
        <v>270.70800000000003</v>
      </c>
      <c r="K17" s="56">
        <f>AVERAGE($H17,$H18)</f>
        <v>11314.486499999999</v>
      </c>
      <c r="L17" s="56">
        <f>AVERAGE($I17,$I18)</f>
        <v>4482.7730000000001</v>
      </c>
      <c r="M17" s="56">
        <f>AVERAGE($J17,$J18)</f>
        <v>270.70850000000002</v>
      </c>
      <c r="N17" s="57"/>
      <c r="O17" s="56">
        <f>$O15+($N16)</f>
        <v>189.55670092975234</v>
      </c>
      <c r="P17" s="57"/>
      <c r="Q17" s="2" t="s">
        <v>500</v>
      </c>
      <c r="R17" s="57">
        <v>6</v>
      </c>
      <c r="S17" s="147">
        <f>$O$27</f>
        <v>181.39770092975229</v>
      </c>
      <c r="T17" s="147">
        <f>$R$6*($R$17/$R$22)</f>
        <v>-2.1118754695366574E-3</v>
      </c>
      <c r="U17" s="147">
        <f>$S$17-$T$17</f>
        <v>181.39981280522181</v>
      </c>
      <c r="V17" s="147">
        <f>SQRT((K27-K31)^2+(L27-L31)^2)</f>
        <v>20.148180029472055</v>
      </c>
      <c r="W17" s="147">
        <f>SQRT((K27-K29)^2+(L27-L29)^2)</f>
        <v>30.427733751464768</v>
      </c>
      <c r="X17" s="57"/>
      <c r="Y17" s="57" t="s">
        <v>500</v>
      </c>
      <c r="Z17" s="147">
        <f t="shared" si="0"/>
        <v>181.39981280522181</v>
      </c>
      <c r="AA17" s="147">
        <f t="shared" si="1"/>
        <v>20.148180029472055</v>
      </c>
      <c r="AB17" s="147">
        <f t="shared" si="2"/>
        <v>30.427733751464768</v>
      </c>
      <c r="AC17" s="57"/>
      <c r="AD17" s="57"/>
      <c r="AE17" s="57"/>
      <c r="AF17" s="57"/>
    </row>
    <row r="18" spans="1:41" x14ac:dyDescent="0.2">
      <c r="A18" s="142" t="s">
        <v>474</v>
      </c>
      <c r="B18" s="169">
        <f>_xlfn.IFNA(INDEX(Table_INPUT_2D[X],MATCH(Table83[[#This Row],[UID]],Table_INPUT_2D[Unique ID],0)),"")</f>
        <v>11314.486000000001</v>
      </c>
      <c r="C18" s="171">
        <f>_xlfn.IFNA(INDEX(Table_INPUT_2D[Y],MATCH(Table83[[#This Row],[UID]],Table_INPUT_2D[Unique ID],0)),"")</f>
        <v>4482.7759999999998</v>
      </c>
      <c r="D18" s="170">
        <f>_xlfn.IFNA(INDEX(Table_INPUT_2D[Z],MATCH(Table83[[#This Row],[UID]],Table_INPUT_2D[Unique ID],0)),"")</f>
        <v>270.709</v>
      </c>
      <c r="E18" s="146" t="s">
        <v>482</v>
      </c>
      <c r="G18" s="2" t="str">
        <f t="shared" si="3"/>
        <v>MR9082</v>
      </c>
      <c r="H18" s="2">
        <f t="shared" si="4"/>
        <v>11314.486000000001</v>
      </c>
      <c r="I18" s="2">
        <f t="shared" si="5"/>
        <v>4482.7759999999998</v>
      </c>
      <c r="J18" s="2">
        <f t="shared" si="6"/>
        <v>270.709</v>
      </c>
      <c r="K18" s="56"/>
      <c r="L18" s="56"/>
      <c r="M18" s="56"/>
      <c r="N18" s="56">
        <f>$M19-$M17</f>
        <v>-0.20949999999999136</v>
      </c>
      <c r="O18" s="56"/>
      <c r="P18" s="57"/>
      <c r="Q18" s="2" t="s">
        <v>505</v>
      </c>
      <c r="R18" s="57">
        <v>7</v>
      </c>
      <c r="S18" s="147">
        <f>$O$29</f>
        <v>185.43470092975232</v>
      </c>
      <c r="T18" s="147">
        <f>$R$6*($R$18/$R$22)</f>
        <v>-2.4638547144594336E-3</v>
      </c>
      <c r="U18" s="147">
        <f>$S$18-$T$18</f>
        <v>185.43716478446677</v>
      </c>
      <c r="V18" s="147">
        <f>SQRT((K29-K33)^2+(L29-L33)^2)</f>
        <v>20.322569233491443</v>
      </c>
      <c r="W18" s="147"/>
      <c r="X18" s="57"/>
      <c r="Y18" s="57" t="s">
        <v>505</v>
      </c>
      <c r="Z18" s="147">
        <f t="shared" si="0"/>
        <v>185.43716478446677</v>
      </c>
      <c r="AA18" s="147">
        <f t="shared" si="1"/>
        <v>20.322569233491443</v>
      </c>
      <c r="AB18" s="147" t="str">
        <f t="shared" si="2"/>
        <v/>
      </c>
      <c r="AC18" s="57"/>
      <c r="AD18" s="57"/>
      <c r="AE18" s="57"/>
      <c r="AF18" s="57"/>
    </row>
    <row r="19" spans="1:41" x14ac:dyDescent="0.2">
      <c r="A19" s="142" t="s">
        <v>477</v>
      </c>
      <c r="B19" s="169">
        <f>_xlfn.IFNA(INDEX(Table_INPUT_2D[X],MATCH(Table83[[#This Row],[UID]],Table_INPUT_2D[Unique ID],0)),"")</f>
        <v>11331.939</v>
      </c>
      <c r="C19" s="171">
        <f>_xlfn.IFNA(INDEX(Table_INPUT_2D[Y],MATCH(Table83[[#This Row],[UID]],Table_INPUT_2D[Unique ID],0)),"")</f>
        <v>4487.125</v>
      </c>
      <c r="D19" s="170">
        <f>_xlfn.IFNA(INDEX(Table_INPUT_2D[Z],MATCH(Table83[[#This Row],[UID]],Table_INPUT_2D[Unique ID],0)),"")</f>
        <v>270.49900000000002</v>
      </c>
      <c r="E19" s="146" t="s">
        <v>486</v>
      </c>
      <c r="G19" s="2" t="str">
        <f t="shared" si="3"/>
        <v>MR9083</v>
      </c>
      <c r="H19" s="2">
        <f t="shared" si="4"/>
        <v>11331.939</v>
      </c>
      <c r="I19" s="2">
        <f t="shared" si="5"/>
        <v>4487.125</v>
      </c>
      <c r="J19" s="2">
        <f t="shared" si="6"/>
        <v>270.49900000000002</v>
      </c>
      <c r="K19" s="56">
        <f>AVERAGE($H19,$H20)</f>
        <v>11331.939</v>
      </c>
      <c r="L19" s="56">
        <f>AVERAGE($I19,$I20)</f>
        <v>4487.125</v>
      </c>
      <c r="M19" s="56">
        <f>AVERAGE($J19,$J20)</f>
        <v>270.49900000000002</v>
      </c>
      <c r="N19" s="57"/>
      <c r="O19" s="56">
        <f>$O17+($N18)</f>
        <v>189.34720092975235</v>
      </c>
      <c r="P19" s="57"/>
      <c r="Q19" s="2" t="s">
        <v>508</v>
      </c>
      <c r="R19" s="57">
        <v>8</v>
      </c>
      <c r="S19" s="147">
        <f>$O$31</f>
        <v>176.67370092975236</v>
      </c>
      <c r="T19" s="147">
        <f>$R$6*($R$19/$R$22)</f>
        <v>-2.8158339593822102E-3</v>
      </c>
      <c r="U19" s="147">
        <f>$S$19-$T$19</f>
        <v>176.67651676371173</v>
      </c>
      <c r="V19" s="147">
        <f>SQRT((K31-K37)^2+(L31-L37)^2)</f>
        <v>18.703351491109856</v>
      </c>
      <c r="W19" s="147">
        <f>SQRT((K31-K33)^2+(L31-L33)^2)</f>
        <v>27.255257639582126</v>
      </c>
      <c r="X19" s="57"/>
      <c r="Y19" s="57" t="s">
        <v>508</v>
      </c>
      <c r="Z19" s="147">
        <f t="shared" si="0"/>
        <v>176.67651676371173</v>
      </c>
      <c r="AA19" s="147">
        <f t="shared" si="1"/>
        <v>18.703351491109856</v>
      </c>
      <c r="AB19" s="147">
        <f t="shared" si="2"/>
        <v>27.255257639582126</v>
      </c>
      <c r="AC19" s="57"/>
      <c r="AD19" s="57"/>
      <c r="AE19" s="57"/>
      <c r="AF19" s="57"/>
    </row>
    <row r="20" spans="1:41" x14ac:dyDescent="0.2">
      <c r="A20" s="142" t="s">
        <v>477</v>
      </c>
      <c r="B20" s="169">
        <f>_xlfn.IFNA(INDEX(Table_INPUT_2D[X],MATCH(Table83[[#This Row],[UID]],Table_INPUT_2D[Unique ID],0)),"")</f>
        <v>11331.939</v>
      </c>
      <c r="C20" s="171">
        <f>_xlfn.IFNA(INDEX(Table_INPUT_2D[Y],MATCH(Table83[[#This Row],[UID]],Table_INPUT_2D[Unique ID],0)),"")</f>
        <v>4487.125</v>
      </c>
      <c r="D20" s="170">
        <f>_xlfn.IFNA(INDEX(Table_INPUT_2D[Z],MATCH(Table83[[#This Row],[UID]],Table_INPUT_2D[Unique ID],0)),"")</f>
        <v>270.49900000000002</v>
      </c>
      <c r="E20" s="146" t="s">
        <v>487</v>
      </c>
      <c r="G20" s="2" t="str">
        <f t="shared" si="3"/>
        <v>MR9083</v>
      </c>
      <c r="H20" s="2">
        <f t="shared" si="4"/>
        <v>11331.939</v>
      </c>
      <c r="I20" s="2">
        <f t="shared" si="5"/>
        <v>4487.125</v>
      </c>
      <c r="J20" s="2">
        <f t="shared" si="6"/>
        <v>270.49900000000002</v>
      </c>
      <c r="K20" s="56"/>
      <c r="L20" s="56"/>
      <c r="M20" s="56"/>
      <c r="N20" s="56">
        <f>$M21-$M19</f>
        <v>-1.0415000000000418</v>
      </c>
      <c r="O20" s="56"/>
      <c r="P20" s="57"/>
      <c r="Q20" s="2" t="s">
        <v>511</v>
      </c>
      <c r="R20" s="57">
        <v>9</v>
      </c>
      <c r="S20" s="147">
        <f>$O$33</f>
        <v>180.43770092975231</v>
      </c>
      <c r="T20" s="147">
        <f>$R$6*($R$20/$R$22)</f>
        <v>-3.1678132043049863E-3</v>
      </c>
      <c r="U20" s="147">
        <f>$S$20-$T$20</f>
        <v>180.44086874295661</v>
      </c>
      <c r="V20" s="147">
        <f>SQRT((K33-K35)^2+(L33-L35)^2)</f>
        <v>21.283659465656008</v>
      </c>
      <c r="W20" s="147"/>
      <c r="X20" s="57"/>
      <c r="Y20" s="57" t="s">
        <v>511</v>
      </c>
      <c r="Z20" s="147">
        <f t="shared" si="0"/>
        <v>180.44086874295661</v>
      </c>
      <c r="AA20" s="147">
        <f t="shared" si="1"/>
        <v>21.283659465656008</v>
      </c>
      <c r="AB20" s="147" t="str">
        <f t="shared" si="2"/>
        <v/>
      </c>
      <c r="AC20" s="57"/>
      <c r="AD20" s="57"/>
      <c r="AE20" s="57"/>
      <c r="AF20" s="57"/>
    </row>
    <row r="21" spans="1:41" x14ac:dyDescent="0.2">
      <c r="A21" s="142" t="s">
        <v>491</v>
      </c>
      <c r="B21" s="169">
        <f>_xlfn.IFNA(INDEX(Table_INPUT_2D[X],MATCH(Table83[[#This Row],[UID]],Table_INPUT_2D[Unique ID],0)),"")</f>
        <v>11335.536</v>
      </c>
      <c r="C21" s="171">
        <f>_xlfn.IFNA(INDEX(Table_INPUT_2D[Y],MATCH(Table83[[#This Row],[UID]],Table_INPUT_2D[Unique ID],0)),"")</f>
        <v>4516.1289999999999</v>
      </c>
      <c r="D21" s="170">
        <f>_xlfn.IFNA(INDEX(Table_INPUT_2D[Z],MATCH(Table83[[#This Row],[UID]],Table_INPUT_2D[Unique ID],0)),"")</f>
        <v>269.45699999999999</v>
      </c>
      <c r="E21" s="146" t="s">
        <v>490</v>
      </c>
      <c r="G21" s="2" t="str">
        <f t="shared" ref="G21:G38" si="7">IF($A21 &lt;&gt; "",$A21, "")</f>
        <v>MR9083A</v>
      </c>
      <c r="H21" s="2">
        <f t="shared" ref="H21:H38" si="8">IF($B21 &lt;&gt; "",$B21, "")</f>
        <v>11335.536</v>
      </c>
      <c r="I21" s="2">
        <f t="shared" ref="I21:I38" si="9">IF($C21 &lt;&gt; "",$C21, "")</f>
        <v>4516.1289999999999</v>
      </c>
      <c r="J21" s="2">
        <f t="shared" ref="J21:J38" si="10">IF($D21 &lt;&gt; "",$D21, "")</f>
        <v>269.45699999999999</v>
      </c>
      <c r="K21" s="56">
        <f>AVERAGE($H21,$H22)</f>
        <v>11335.536</v>
      </c>
      <c r="L21" s="56">
        <f>AVERAGE($I21,$I22)</f>
        <v>4516.1289999999999</v>
      </c>
      <c r="M21" s="56">
        <f>AVERAGE($J21,$J22)</f>
        <v>269.45749999999998</v>
      </c>
      <c r="N21" s="57"/>
      <c r="O21" s="56">
        <f>$O19+($N20)</f>
        <v>188.30570092975231</v>
      </c>
      <c r="P21" s="57"/>
      <c r="Q21" s="2" t="s">
        <v>517</v>
      </c>
      <c r="R21" s="57">
        <v>10</v>
      </c>
      <c r="S21" s="147">
        <f>$O$35</f>
        <v>176.87920092975227</v>
      </c>
      <c r="T21" s="147">
        <f>$R$6*($R$21/$R$22)</f>
        <v>-3.5197924492277625E-3</v>
      </c>
      <c r="U21" s="147">
        <f>$S$21-$T$21</f>
        <v>176.8827207222015</v>
      </c>
      <c r="V21" s="147"/>
      <c r="W21" s="147"/>
      <c r="X21" s="57"/>
      <c r="Y21" s="108" t="s">
        <v>514</v>
      </c>
      <c r="Z21" s="147">
        <f t="shared" si="0"/>
        <v>173.91657270144648</v>
      </c>
      <c r="AA21" s="147" t="str">
        <f t="shared" si="1"/>
        <v/>
      </c>
      <c r="AB21" s="147">
        <f t="shared" si="2"/>
        <v>23.23353139860615</v>
      </c>
      <c r="AC21" s="57"/>
      <c r="AD21" s="57"/>
      <c r="AE21" s="57"/>
      <c r="AF21" s="57"/>
    </row>
    <row r="22" spans="1:41" x14ac:dyDescent="0.2">
      <c r="A22" s="142" t="s">
        <v>491</v>
      </c>
      <c r="B22" s="169">
        <f>_xlfn.IFNA(INDEX(Table_INPUT_2D[X],MATCH(Table83[[#This Row],[UID]],Table_INPUT_2D[Unique ID],0)),"")</f>
        <v>11335.536</v>
      </c>
      <c r="C22" s="171">
        <f>_xlfn.IFNA(INDEX(Table_INPUT_2D[Y],MATCH(Table83[[#This Row],[UID]],Table_INPUT_2D[Unique ID],0)),"")</f>
        <v>4516.1289999999999</v>
      </c>
      <c r="D22" s="170">
        <f>_xlfn.IFNA(INDEX(Table_INPUT_2D[Z],MATCH(Table83[[#This Row],[UID]],Table_INPUT_2D[Unique ID],0)),"")</f>
        <v>269.45800000000003</v>
      </c>
      <c r="E22" s="146" t="s">
        <v>492</v>
      </c>
      <c r="G22" s="2" t="str">
        <f t="shared" si="7"/>
        <v>MR9083A</v>
      </c>
      <c r="H22" s="2">
        <f t="shared" si="8"/>
        <v>11335.536</v>
      </c>
      <c r="I22" s="2">
        <f t="shared" si="9"/>
        <v>4516.1289999999999</v>
      </c>
      <c r="J22" s="2">
        <f t="shared" si="10"/>
        <v>269.45800000000003</v>
      </c>
      <c r="K22" s="56"/>
      <c r="L22" s="56"/>
      <c r="M22" s="56"/>
      <c r="N22" s="56">
        <f>$M23-$M21</f>
        <v>-1.8384999999999536</v>
      </c>
      <c r="O22" s="56"/>
      <c r="P22" s="57"/>
      <c r="Q22" s="2" t="s">
        <v>514</v>
      </c>
      <c r="R22" s="57">
        <v>11</v>
      </c>
      <c r="S22" s="147">
        <f>$O$37</f>
        <v>173.91270092975233</v>
      </c>
      <c r="T22" s="147">
        <f>$R$6*($R$22/$R$22)</f>
        <v>-3.8717716941505387E-3</v>
      </c>
      <c r="U22" s="147">
        <f>$S$22-$T$22</f>
        <v>173.91657270144648</v>
      </c>
      <c r="V22" s="147"/>
      <c r="W22" s="147">
        <f>SQRT((K35-K37)^2+(L35-L37)^2)</f>
        <v>23.23353139860615</v>
      </c>
      <c r="X22" s="57"/>
      <c r="Y22" s="108" t="s">
        <v>517</v>
      </c>
      <c r="Z22" s="147">
        <f t="shared" si="0"/>
        <v>176.8827207222015</v>
      </c>
      <c r="AA22" s="147" t="str">
        <f t="shared" si="1"/>
        <v/>
      </c>
      <c r="AB22" s="147" t="str">
        <f t="shared" si="2"/>
        <v/>
      </c>
      <c r="AC22" s="57"/>
      <c r="AD22" s="57"/>
      <c r="AE22" s="57"/>
      <c r="AF22" s="57"/>
    </row>
    <row r="23" spans="1:41" x14ac:dyDescent="0.2">
      <c r="A23" s="142" t="s">
        <v>494</v>
      </c>
      <c r="B23" s="169">
        <f>_xlfn.IFNA(INDEX(Table_INPUT_2D[X],MATCH(Table83[[#This Row],[UID]],Table_INPUT_2D[Unique ID],0)),"")</f>
        <v>11354.196</v>
      </c>
      <c r="C23" s="171">
        <f>_xlfn.IFNA(INDEX(Table_INPUT_2D[Y],MATCH(Table83[[#This Row],[UID]],Table_INPUT_2D[Unique ID],0)),"")</f>
        <v>4488.57</v>
      </c>
      <c r="D23" s="170">
        <f>_xlfn.IFNA(INDEX(Table_INPUT_2D[Z],MATCH(Table83[[#This Row],[UID]],Table_INPUT_2D[Unique ID],0)),"")</f>
        <v>267.61900000000003</v>
      </c>
      <c r="E23" s="146" t="s">
        <v>493</v>
      </c>
      <c r="G23" s="2" t="str">
        <f t="shared" si="7"/>
        <v>MR9084</v>
      </c>
      <c r="H23" s="2">
        <f t="shared" si="8"/>
        <v>11354.196</v>
      </c>
      <c r="I23" s="2">
        <f t="shared" si="9"/>
        <v>4488.57</v>
      </c>
      <c r="J23" s="2">
        <f t="shared" si="10"/>
        <v>267.61900000000003</v>
      </c>
      <c r="K23" s="56">
        <f>AVERAGE($H23,$H24)</f>
        <v>11354.196</v>
      </c>
      <c r="L23" s="56">
        <f>AVERAGE($I23,$I24)</f>
        <v>4488.57</v>
      </c>
      <c r="M23" s="56">
        <f>AVERAGE($J23,$J24)</f>
        <v>267.61900000000003</v>
      </c>
      <c r="N23" s="57"/>
      <c r="O23" s="56">
        <f>$O21+($N22)</f>
        <v>186.46720092975235</v>
      </c>
      <c r="P23" s="57"/>
      <c r="Q23"/>
      <c r="R23"/>
      <c r="S23"/>
      <c r="T23"/>
      <c r="U23"/>
      <c r="V23"/>
      <c r="W23" s="57"/>
      <c r="X23"/>
      <c r="Y23"/>
      <c r="Z23"/>
      <c r="AA23"/>
      <c r="AB23"/>
      <c r="AC23"/>
      <c r="AD23" s="57"/>
      <c r="AE23" s="57"/>
      <c r="AF23" s="57"/>
    </row>
    <row r="24" spans="1:41" x14ac:dyDescent="0.2">
      <c r="A24" s="142" t="s">
        <v>494</v>
      </c>
      <c r="B24" s="169">
        <f>_xlfn.IFNA(INDEX(Table_INPUT_2D[X],MATCH(Table83[[#This Row],[UID]],Table_INPUT_2D[Unique ID],0)),"")</f>
        <v>11354.196</v>
      </c>
      <c r="C24" s="171">
        <f>_xlfn.IFNA(INDEX(Table_INPUT_2D[Y],MATCH(Table83[[#This Row],[UID]],Table_INPUT_2D[Unique ID],0)),"")</f>
        <v>4488.57</v>
      </c>
      <c r="D24" s="170">
        <f>_xlfn.IFNA(INDEX(Table_INPUT_2D[Z],MATCH(Table83[[#This Row],[UID]],Table_INPUT_2D[Unique ID],0)),"")</f>
        <v>267.61900000000003</v>
      </c>
      <c r="E24" s="146" t="s">
        <v>495</v>
      </c>
      <c r="G24" s="2" t="str">
        <f t="shared" si="7"/>
        <v>MR9084</v>
      </c>
      <c r="H24" s="2">
        <f t="shared" si="8"/>
        <v>11354.196</v>
      </c>
      <c r="I24" s="2">
        <f t="shared" si="9"/>
        <v>4488.57</v>
      </c>
      <c r="J24" s="2">
        <f t="shared" si="10"/>
        <v>267.61900000000003</v>
      </c>
      <c r="K24" s="56"/>
      <c r="L24" s="56"/>
      <c r="M24" s="56"/>
      <c r="N24" s="56">
        <f>$M25-$M23</f>
        <v>1.9604999999999677</v>
      </c>
      <c r="O24" s="56"/>
      <c r="P24" s="57"/>
      <c r="Q24"/>
      <c r="R24"/>
      <c r="S24"/>
      <c r="T24"/>
      <c r="U24"/>
      <c r="V24"/>
      <c r="W24" s="57"/>
      <c r="X24"/>
      <c r="Y24"/>
      <c r="Z24"/>
      <c r="AA24"/>
      <c r="AB24"/>
      <c r="AC24"/>
      <c r="AD24" s="57"/>
      <c r="AE24" s="57"/>
      <c r="AF24" s="57"/>
    </row>
    <row r="25" spans="1:41" x14ac:dyDescent="0.2">
      <c r="A25" s="142" t="s">
        <v>497</v>
      </c>
      <c r="B25" s="169">
        <f>_xlfn.IFNA(INDEX(Table_INPUT_2D[X],MATCH(Table83[[#This Row],[UID]],Table_INPUT_2D[Unique ID],0)),"")</f>
        <v>11351.044</v>
      </c>
      <c r="C25" s="171">
        <f>_xlfn.IFNA(INDEX(Table_INPUT_2D[Y],MATCH(Table83[[#This Row],[UID]],Table_INPUT_2D[Unique ID],0)),"")</f>
        <v>4517.53</v>
      </c>
      <c r="D25" s="170">
        <f>_xlfn.IFNA(INDEX(Table_INPUT_2D[Z],MATCH(Table83[[#This Row],[UID]],Table_INPUT_2D[Unique ID],0)),"")</f>
        <v>269.58</v>
      </c>
      <c r="E25" s="146" t="s">
        <v>496</v>
      </c>
      <c r="G25" s="2" t="str">
        <f t="shared" si="7"/>
        <v>MR9084A</v>
      </c>
      <c r="H25" s="2">
        <f t="shared" si="8"/>
        <v>11351.044</v>
      </c>
      <c r="I25" s="2">
        <f t="shared" si="9"/>
        <v>4517.53</v>
      </c>
      <c r="J25" s="2">
        <f t="shared" si="10"/>
        <v>269.58</v>
      </c>
      <c r="K25" s="56">
        <f>AVERAGE($H25,$H26)</f>
        <v>11351.0445</v>
      </c>
      <c r="L25" s="56">
        <f>AVERAGE($I25,$I26)</f>
        <v>4517.53</v>
      </c>
      <c r="M25" s="56">
        <f>AVERAGE($J25,$J26)</f>
        <v>269.5795</v>
      </c>
      <c r="N25" s="57"/>
      <c r="O25" s="56">
        <f>$O23+($N24)</f>
        <v>188.42770092975232</v>
      </c>
      <c r="P25" s="57"/>
      <c r="Q25"/>
      <c r="R25"/>
      <c r="S25"/>
      <c r="T25"/>
      <c r="U25"/>
      <c r="V25"/>
      <c r="W25" s="57"/>
      <c r="X25"/>
      <c r="Y25"/>
      <c r="Z25"/>
      <c r="AA25"/>
      <c r="AB25"/>
      <c r="AC25"/>
      <c r="AD25" s="57"/>
      <c r="AE25" s="57"/>
      <c r="AF25" s="57"/>
    </row>
    <row r="26" spans="1:41" ht="26.25" x14ac:dyDescent="0.4">
      <c r="A26" s="142" t="s">
        <v>497</v>
      </c>
      <c r="B26" s="169">
        <f>_xlfn.IFNA(INDEX(Table_INPUT_2D[X],MATCH(Table83[[#This Row],[UID]],Table_INPUT_2D[Unique ID],0)),"")</f>
        <v>11351.045</v>
      </c>
      <c r="C26" s="171">
        <f>_xlfn.IFNA(INDEX(Table_INPUT_2D[Y],MATCH(Table83[[#This Row],[UID]],Table_INPUT_2D[Unique ID],0)),"")</f>
        <v>4517.53</v>
      </c>
      <c r="D26" s="170">
        <f>_xlfn.IFNA(INDEX(Table_INPUT_2D[Z],MATCH(Table83[[#This Row],[UID]],Table_INPUT_2D[Unique ID],0)),"")</f>
        <v>269.57900000000001</v>
      </c>
      <c r="E26" s="146" t="s">
        <v>498</v>
      </c>
      <c r="G26" s="2" t="str">
        <f t="shared" si="7"/>
        <v>MR9084A</v>
      </c>
      <c r="H26" s="2">
        <f t="shared" si="8"/>
        <v>11351.045</v>
      </c>
      <c r="I26" s="2">
        <f t="shared" si="9"/>
        <v>4517.53</v>
      </c>
      <c r="J26" s="2">
        <f t="shared" si="10"/>
        <v>269.57900000000001</v>
      </c>
      <c r="K26" s="56"/>
      <c r="L26" s="56"/>
      <c r="M26" s="56"/>
      <c r="N26" s="56">
        <f>$M27-$M25</f>
        <v>-7.0300000000000296</v>
      </c>
      <c r="O26" s="56"/>
      <c r="P26" s="57"/>
      <c r="Q26"/>
      <c r="R26"/>
      <c r="S26"/>
      <c r="T26"/>
      <c r="U26"/>
      <c r="V26"/>
      <c r="W26" s="57"/>
      <c r="X26"/>
      <c r="Y26" s="224" t="s">
        <v>706</v>
      </c>
      <c r="Z26" s="224"/>
      <c r="AA26" s="224"/>
      <c r="AB26" s="2"/>
      <c r="AC26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</row>
    <row r="27" spans="1:41" x14ac:dyDescent="0.2">
      <c r="A27" s="142" t="s">
        <v>500</v>
      </c>
      <c r="B27" s="169">
        <f>_xlfn.IFNA(INDEX(Table_INPUT_2D[X],MATCH(Table83[[#This Row],[UID]],Table_INPUT_2D[Unique ID],0)),"")</f>
        <v>11378.505999999999</v>
      </c>
      <c r="C27" s="171">
        <f>_xlfn.IFNA(INDEX(Table_INPUT_2D[Y],MATCH(Table83[[#This Row],[UID]],Table_INPUT_2D[Unique ID],0)),"")</f>
        <v>4484.5789999999997</v>
      </c>
      <c r="D27" s="170">
        <f>_xlfn.IFNA(INDEX(Table_INPUT_2D[Z],MATCH(Table83[[#This Row],[UID]],Table_INPUT_2D[Unique ID],0)),"")</f>
        <v>262.55</v>
      </c>
      <c r="E27" s="146" t="s">
        <v>499</v>
      </c>
      <c r="G27" s="2" t="str">
        <f t="shared" si="7"/>
        <v>MR9085</v>
      </c>
      <c r="H27" s="2">
        <f t="shared" si="8"/>
        <v>11378.505999999999</v>
      </c>
      <c r="I27" s="2">
        <f t="shared" si="9"/>
        <v>4484.5789999999997</v>
      </c>
      <c r="J27" s="2">
        <f t="shared" si="10"/>
        <v>262.55</v>
      </c>
      <c r="K27" s="56">
        <f>AVERAGE($H27,$H28)</f>
        <v>11378.505999999999</v>
      </c>
      <c r="L27" s="56">
        <f>AVERAGE($I27,$I28)</f>
        <v>4484.5789999999997</v>
      </c>
      <c r="M27" s="56">
        <f>AVERAGE($J27,$J28)</f>
        <v>262.54949999999997</v>
      </c>
      <c r="N27" s="57"/>
      <c r="O27" s="56">
        <f>$O25+($N26)</f>
        <v>181.39770092975229</v>
      </c>
      <c r="P27" s="57"/>
      <c r="Q27" s="181" t="s">
        <v>696</v>
      </c>
      <c r="R27"/>
      <c r="S27"/>
      <c r="T27"/>
      <c r="U27"/>
      <c r="V27"/>
      <c r="W27" s="57"/>
      <c r="X27"/>
      <c r="Y27" s="2"/>
      <c r="Z27" s="2"/>
      <c r="AA27" s="2"/>
      <c r="AB27" s="2"/>
      <c r="AC2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</row>
    <row r="28" spans="1:41" x14ac:dyDescent="0.2">
      <c r="A28" s="142" t="s">
        <v>500</v>
      </c>
      <c r="B28" s="169">
        <f>_xlfn.IFNA(INDEX(Table_INPUT_2D[X],MATCH(Table83[[#This Row],[UID]],Table_INPUT_2D[Unique ID],0)),"")</f>
        <v>11378.505999999999</v>
      </c>
      <c r="C28" s="171">
        <f>_xlfn.IFNA(INDEX(Table_INPUT_2D[Y],MATCH(Table83[[#This Row],[UID]],Table_INPUT_2D[Unique ID],0)),"")</f>
        <v>4484.5789999999997</v>
      </c>
      <c r="D28" s="170">
        <f>_xlfn.IFNA(INDEX(Table_INPUT_2D[Z],MATCH(Table83[[#This Row],[UID]],Table_INPUT_2D[Unique ID],0)),"")</f>
        <v>262.54899999999998</v>
      </c>
      <c r="E28" s="146" t="s">
        <v>501</v>
      </c>
      <c r="G28" s="2" t="str">
        <f t="shared" si="7"/>
        <v>MR9085</v>
      </c>
      <c r="H28" s="2">
        <f t="shared" si="8"/>
        <v>11378.505999999999</v>
      </c>
      <c r="I28" s="2">
        <f t="shared" si="9"/>
        <v>4484.5789999999997</v>
      </c>
      <c r="J28" s="2">
        <f t="shared" si="10"/>
        <v>262.54899999999998</v>
      </c>
      <c r="K28" s="56"/>
      <c r="L28" s="56"/>
      <c r="M28" s="56"/>
      <c r="N28" s="56">
        <f>$M29-$M27</f>
        <v>4.0370000000000346</v>
      </c>
      <c r="O28" s="56"/>
      <c r="P28" s="57"/>
      <c r="Q28" s="58" t="s">
        <v>7</v>
      </c>
      <c r="R28" s="58" t="s">
        <v>25</v>
      </c>
      <c r="S28" s="58" t="s">
        <v>17</v>
      </c>
      <c r="T28" s="58" t="s">
        <v>18</v>
      </c>
      <c r="U28" s="58" t="s">
        <v>19</v>
      </c>
      <c r="V28" s="58" t="s">
        <v>700</v>
      </c>
      <c r="W28" s="58" t="s">
        <v>701</v>
      </c>
      <c r="X28"/>
      <c r="Y28" s="58" t="s">
        <v>7</v>
      </c>
      <c r="Z28" s="58" t="s">
        <v>29</v>
      </c>
      <c r="AA28" s="58" t="s">
        <v>702</v>
      </c>
      <c r="AB28" s="2"/>
      <c r="AC28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</row>
    <row r="29" spans="1:41" x14ac:dyDescent="0.2">
      <c r="A29" s="142" t="s">
        <v>505</v>
      </c>
      <c r="B29" s="169">
        <f>_xlfn.IFNA(INDEX(Table_INPUT_2D[X],MATCH(Table83[[#This Row],[UID]],Table_INPUT_2D[Unique ID],0)),"")</f>
        <v>11374.334999999999</v>
      </c>
      <c r="C29" s="171">
        <f>_xlfn.IFNA(INDEX(Table_INPUT_2D[Y],MATCH(Table83[[#This Row],[UID]],Table_INPUT_2D[Unique ID],0)),"")</f>
        <v>4514.72</v>
      </c>
      <c r="D29" s="170">
        <f>_xlfn.IFNA(INDEX(Table_INPUT_2D[Z],MATCH(Table83[[#This Row],[UID]],Table_INPUT_2D[Unique ID],0)),"")</f>
        <v>266.58600000000001</v>
      </c>
      <c r="E29" s="146" t="s">
        <v>504</v>
      </c>
      <c r="G29" s="2" t="str">
        <f t="shared" si="7"/>
        <v>MR9085A</v>
      </c>
      <c r="H29" s="2">
        <f t="shared" si="8"/>
        <v>11374.334999999999</v>
      </c>
      <c r="I29" s="2">
        <f t="shared" si="9"/>
        <v>4514.72</v>
      </c>
      <c r="J29" s="2">
        <f t="shared" si="10"/>
        <v>266.58600000000001</v>
      </c>
      <c r="K29" s="56">
        <f>AVERAGE($H29,$H30)</f>
        <v>11374.334999999999</v>
      </c>
      <c r="L29" s="56">
        <f>AVERAGE($I29,$I30)</f>
        <v>4514.7195000000002</v>
      </c>
      <c r="M29" s="56">
        <f>AVERAGE($J29,$J30)</f>
        <v>266.5865</v>
      </c>
      <c r="N29" s="57"/>
      <c r="O29" s="56">
        <f>$O27+($N28)</f>
        <v>185.43470092975232</v>
      </c>
      <c r="P29" s="57"/>
      <c r="Q29" s="2" t="s">
        <v>474</v>
      </c>
      <c r="R29">
        <v>0</v>
      </c>
      <c r="S29" s="147">
        <f>O12</f>
        <v>189.55670092975234</v>
      </c>
      <c r="T29" s="148" t="s">
        <v>707</v>
      </c>
      <c r="U29" s="147">
        <f>S29</f>
        <v>189.55670092975234</v>
      </c>
      <c r="V29"/>
      <c r="W29" s="147">
        <f>SQRT((K10-K12)^2+(L10-L12)^2)</f>
        <v>30.169189382546605</v>
      </c>
      <c r="X29"/>
      <c r="AB29" s="57"/>
      <c r="AC29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</row>
    <row r="30" spans="1:41" x14ac:dyDescent="0.2">
      <c r="A30" s="142" t="s">
        <v>505</v>
      </c>
      <c r="B30" s="169">
        <f>_xlfn.IFNA(INDEX(Table_INPUT_2D[X],MATCH(Table83[[#This Row],[UID]],Table_INPUT_2D[Unique ID],0)),"")</f>
        <v>11374.334999999999</v>
      </c>
      <c r="C30" s="171">
        <f>_xlfn.IFNA(INDEX(Table_INPUT_2D[Y],MATCH(Table83[[#This Row],[UID]],Table_INPUT_2D[Unique ID],0)),"")</f>
        <v>4514.7190000000001</v>
      </c>
      <c r="D30" s="170">
        <f>_xlfn.IFNA(INDEX(Table_INPUT_2D[Z],MATCH(Table83[[#This Row],[UID]],Table_INPUT_2D[Unique ID],0)),"")</f>
        <v>266.58699999999999</v>
      </c>
      <c r="E30" s="146" t="s">
        <v>506</v>
      </c>
      <c r="G30" s="2" t="str">
        <f t="shared" si="7"/>
        <v>MR9085A</v>
      </c>
      <c r="H30" s="2">
        <f t="shared" si="8"/>
        <v>11374.334999999999</v>
      </c>
      <c r="I30" s="2">
        <f t="shared" si="9"/>
        <v>4514.7190000000001</v>
      </c>
      <c r="J30" s="2">
        <f t="shared" si="10"/>
        <v>266.58699999999999</v>
      </c>
      <c r="K30" s="56"/>
      <c r="L30" s="56"/>
      <c r="M30" s="56"/>
      <c r="N30" s="56">
        <f>$M31-$M29</f>
        <v>-8.7609999999999673</v>
      </c>
      <c r="O30" s="56"/>
      <c r="P30" s="57"/>
      <c r="Q30"/>
      <c r="R30"/>
      <c r="S30"/>
      <c r="T30"/>
      <c r="U30"/>
      <c r="V30"/>
      <c r="W30" s="57"/>
      <c r="X30"/>
      <c r="Y30" s="14" t="s">
        <v>7</v>
      </c>
      <c r="Z30" s="14" t="s">
        <v>29</v>
      </c>
      <c r="AA30" s="14" t="s">
        <v>703</v>
      </c>
      <c r="AB30" s="14" t="s">
        <v>704</v>
      </c>
      <c r="AC30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</row>
    <row r="31" spans="1:41" x14ac:dyDescent="0.2">
      <c r="A31" s="142" t="s">
        <v>508</v>
      </c>
      <c r="B31" s="169">
        <f>_xlfn.IFNA(INDEX(Table_INPUT_2D[X],MATCH(Table83[[#This Row],[UID]],Table_INPUT_2D[Unique ID],0)),"")</f>
        <v>11398.329</v>
      </c>
      <c r="C31" s="171">
        <f>_xlfn.IFNA(INDEX(Table_INPUT_2D[Y],MATCH(Table83[[#This Row],[UID]],Table_INPUT_2D[Unique ID],0)),"")</f>
        <v>4480.9759999999997</v>
      </c>
      <c r="D31" s="170">
        <f>_xlfn.IFNA(INDEX(Table_INPUT_2D[Z],MATCH(Table83[[#This Row],[UID]],Table_INPUT_2D[Unique ID],0)),"")</f>
        <v>257.82499999999999</v>
      </c>
      <c r="E31" s="146" t="s">
        <v>507</v>
      </c>
      <c r="G31" s="2" t="str">
        <f t="shared" si="7"/>
        <v>MR9086</v>
      </c>
      <c r="H31" s="2">
        <f t="shared" si="8"/>
        <v>11398.329</v>
      </c>
      <c r="I31" s="2">
        <f t="shared" si="9"/>
        <v>4480.9759999999997</v>
      </c>
      <c r="J31" s="2">
        <f t="shared" si="10"/>
        <v>257.82499999999999</v>
      </c>
      <c r="K31" s="56">
        <f>AVERAGE($H31,$H32)</f>
        <v>11398.3295</v>
      </c>
      <c r="L31" s="56">
        <f>AVERAGE($I31,$I32)</f>
        <v>4480.9764999999998</v>
      </c>
      <c r="M31" s="56">
        <f>AVERAGE($J31,$J32)</f>
        <v>257.82550000000003</v>
      </c>
      <c r="N31" s="57"/>
      <c r="O31" s="56">
        <f>$O29+($N30)</f>
        <v>176.67370092975236</v>
      </c>
      <c r="P31" s="57"/>
      <c r="Q31"/>
      <c r="R31"/>
      <c r="S31"/>
      <c r="T31"/>
      <c r="U31"/>
      <c r="V31"/>
      <c r="W31" s="57"/>
      <c r="X31"/>
      <c r="Y31" s="108" t="s">
        <v>474</v>
      </c>
      <c r="Z31" s="147">
        <f t="shared" ref="Z31" si="11">VLOOKUP($Y31,$Q$11:$W$22,5,)</f>
        <v>189.55705290899726</v>
      </c>
      <c r="AA31" s="147"/>
      <c r="AB31" s="126">
        <f>VLOOKUP($Y31,$Q$28:$W$29,7,)</f>
        <v>30.169189382546605</v>
      </c>
      <c r="AC31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</row>
    <row r="32" spans="1:41" x14ac:dyDescent="0.2">
      <c r="A32" s="142" t="s">
        <v>508</v>
      </c>
      <c r="B32" s="169">
        <f>_xlfn.IFNA(INDEX(Table_INPUT_2D[X],MATCH(Table83[[#This Row],[UID]],Table_INPUT_2D[Unique ID],0)),"")</f>
        <v>11398.33</v>
      </c>
      <c r="C32" s="171">
        <f>_xlfn.IFNA(INDEX(Table_INPUT_2D[Y],MATCH(Table83[[#This Row],[UID]],Table_INPUT_2D[Unique ID],0)),"")</f>
        <v>4480.9769999999999</v>
      </c>
      <c r="D32" s="170">
        <f>_xlfn.IFNA(INDEX(Table_INPUT_2D[Z],MATCH(Table83[[#This Row],[UID]],Table_INPUT_2D[Unique ID],0)),"")</f>
        <v>257.82600000000002</v>
      </c>
      <c r="E32" s="146" t="s">
        <v>509</v>
      </c>
      <c r="G32" s="2" t="str">
        <f t="shared" si="7"/>
        <v>MR9086</v>
      </c>
      <c r="H32" s="2">
        <f t="shared" si="8"/>
        <v>11398.33</v>
      </c>
      <c r="I32" s="2">
        <f t="shared" si="9"/>
        <v>4480.9769999999999</v>
      </c>
      <c r="J32" s="2">
        <f t="shared" si="10"/>
        <v>257.82600000000002</v>
      </c>
      <c r="K32" s="56"/>
      <c r="L32" s="56"/>
      <c r="M32" s="56"/>
      <c r="N32" s="56">
        <f>$M33-$M31</f>
        <v>3.7639999999999532</v>
      </c>
      <c r="O32" s="56"/>
      <c r="P32" s="57"/>
      <c r="Q32"/>
      <c r="R32"/>
      <c r="S32"/>
      <c r="T32"/>
      <c r="U32"/>
      <c r="V32"/>
      <c r="W32" s="57"/>
      <c r="X32"/>
      <c r="Y32"/>
      <c r="Z32"/>
      <c r="AA32"/>
      <c r="AB32"/>
      <c r="AC32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</row>
    <row r="33" spans="1:41" x14ac:dyDescent="0.2">
      <c r="A33" s="142" t="s">
        <v>511</v>
      </c>
      <c r="B33" s="169">
        <f>_xlfn.IFNA(INDEX(Table_INPUT_2D[X],MATCH(Table83[[#This Row],[UID]],Table_INPUT_2D[Unique ID],0)),"")</f>
        <v>11393.44</v>
      </c>
      <c r="C33" s="171">
        <f>_xlfn.IFNA(INDEX(Table_INPUT_2D[Y],MATCH(Table83[[#This Row],[UID]],Table_INPUT_2D[Unique ID],0)),"")</f>
        <v>4507.7889999999998</v>
      </c>
      <c r="D33" s="170">
        <f>_xlfn.IFNA(INDEX(Table_INPUT_2D[Z],MATCH(Table83[[#This Row],[UID]],Table_INPUT_2D[Unique ID],0)),"")</f>
        <v>261.589</v>
      </c>
      <c r="E33" s="146" t="s">
        <v>510</v>
      </c>
      <c r="G33" s="2" t="str">
        <f t="shared" si="7"/>
        <v>MR9086A</v>
      </c>
      <c r="H33" s="2">
        <f t="shared" si="8"/>
        <v>11393.44</v>
      </c>
      <c r="I33" s="2">
        <f t="shared" si="9"/>
        <v>4507.7889999999998</v>
      </c>
      <c r="J33" s="2">
        <f t="shared" si="10"/>
        <v>261.589</v>
      </c>
      <c r="K33" s="56">
        <f>AVERAGE($H33,$H34)</f>
        <v>11393.4395</v>
      </c>
      <c r="L33" s="56">
        <f>AVERAGE($I33,$I34)</f>
        <v>4507.7894999999999</v>
      </c>
      <c r="M33" s="56">
        <f>AVERAGE($J33,$J34)</f>
        <v>261.58949999999999</v>
      </c>
      <c r="N33" s="57"/>
      <c r="O33" s="56">
        <f>$O31+($N32)</f>
        <v>180.43770092975231</v>
      </c>
      <c r="P33" s="57"/>
      <c r="Q33"/>
      <c r="R33"/>
      <c r="S33"/>
      <c r="T33"/>
      <c r="U33"/>
      <c r="V33"/>
      <c r="W33" s="57"/>
      <c r="X33"/>
      <c r="Y33"/>
      <c r="Z33"/>
      <c r="AA33"/>
      <c r="AB33"/>
      <c r="AC33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</row>
    <row r="34" spans="1:41" x14ac:dyDescent="0.2">
      <c r="A34" s="142" t="s">
        <v>511</v>
      </c>
      <c r="B34" s="169">
        <f>_xlfn.IFNA(INDEX(Table_INPUT_2D[X],MATCH(Table83[[#This Row],[UID]],Table_INPUT_2D[Unique ID],0)),"")</f>
        <v>11393.439</v>
      </c>
      <c r="C34" s="171">
        <f>_xlfn.IFNA(INDEX(Table_INPUT_2D[Y],MATCH(Table83[[#This Row],[UID]],Table_INPUT_2D[Unique ID],0)),"")</f>
        <v>4507.79</v>
      </c>
      <c r="D34" s="170">
        <f>_xlfn.IFNA(INDEX(Table_INPUT_2D[Z],MATCH(Table83[[#This Row],[UID]],Table_INPUT_2D[Unique ID],0)),"")</f>
        <v>261.58999999999997</v>
      </c>
      <c r="E34" s="146" t="s">
        <v>512</v>
      </c>
      <c r="G34" s="2" t="str">
        <f t="shared" si="7"/>
        <v>MR9086A</v>
      </c>
      <c r="H34" s="2">
        <f t="shared" si="8"/>
        <v>11393.439</v>
      </c>
      <c r="I34" s="2">
        <f t="shared" si="9"/>
        <v>4507.79</v>
      </c>
      <c r="J34" s="2">
        <f t="shared" si="10"/>
        <v>261.58999999999997</v>
      </c>
      <c r="K34" s="56"/>
      <c r="L34" s="56"/>
      <c r="M34" s="56"/>
      <c r="N34" s="56">
        <f>$M35-$M33</f>
        <v>-3.5585000000000377</v>
      </c>
      <c r="O34" s="56"/>
      <c r="P34" s="57"/>
      <c r="Q34"/>
      <c r="R34"/>
      <c r="S34"/>
      <c r="T34"/>
      <c r="U34"/>
      <c r="V34"/>
      <c r="W34" s="57"/>
      <c r="X34"/>
      <c r="Y34"/>
      <c r="Z34"/>
      <c r="AA34"/>
      <c r="AB34"/>
      <c r="AC34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</row>
    <row r="35" spans="1:41" x14ac:dyDescent="0.2">
      <c r="A35" s="142" t="s">
        <v>517</v>
      </c>
      <c r="B35" s="169">
        <f>_xlfn.IFNA(INDEX(Table_INPUT_2D[X],MATCH(Table83[[#This Row],[UID]],Table_INPUT_2D[Unique ID],0)),"")</f>
        <v>11413.504000000001</v>
      </c>
      <c r="C35" s="171">
        <f>_xlfn.IFNA(INDEX(Table_INPUT_2D[Y],MATCH(Table83[[#This Row],[UID]],Table_INPUT_2D[Unique ID],0)),"")</f>
        <v>4500.6899999999996</v>
      </c>
      <c r="D35" s="170">
        <f>_xlfn.IFNA(INDEX(Table_INPUT_2D[Z],MATCH(Table83[[#This Row],[UID]],Table_INPUT_2D[Unique ID],0)),"")</f>
        <v>258.03199999999998</v>
      </c>
      <c r="E35" s="146" t="s">
        <v>516</v>
      </c>
      <c r="G35" s="2" t="str">
        <f t="shared" si="7"/>
        <v>MR9087A</v>
      </c>
      <c r="H35" s="2">
        <f t="shared" si="8"/>
        <v>11413.504000000001</v>
      </c>
      <c r="I35" s="2">
        <f t="shared" si="9"/>
        <v>4500.6899999999996</v>
      </c>
      <c r="J35" s="2">
        <f t="shared" si="10"/>
        <v>258.03199999999998</v>
      </c>
      <c r="K35" s="56">
        <f>AVERAGE($H35,$H36)</f>
        <v>11413.504000000001</v>
      </c>
      <c r="L35" s="56">
        <f>AVERAGE($I35,$I36)</f>
        <v>4500.6895000000004</v>
      </c>
      <c r="M35" s="56">
        <f>AVERAGE($J35,$J36)</f>
        <v>258.03099999999995</v>
      </c>
      <c r="N35" s="57"/>
      <c r="O35" s="56">
        <f>$O33+($N34)</f>
        <v>176.87920092975227</v>
      </c>
      <c r="P35" s="57"/>
      <c r="Q35"/>
      <c r="R35"/>
      <c r="S35"/>
      <c r="T35"/>
      <c r="U35"/>
      <c r="V35"/>
      <c r="W35" s="57"/>
      <c r="X35"/>
      <c r="Y35"/>
      <c r="Z35"/>
      <c r="AA35"/>
      <c r="AB35"/>
      <c r="AC35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</row>
    <row r="36" spans="1:41" x14ac:dyDescent="0.2">
      <c r="A36" s="142" t="s">
        <v>517</v>
      </c>
      <c r="B36" s="169">
        <f>_xlfn.IFNA(INDEX(Table_INPUT_2D[X],MATCH(Table83[[#This Row],[UID]],Table_INPUT_2D[Unique ID],0)),"")</f>
        <v>11413.504000000001</v>
      </c>
      <c r="C36" s="171">
        <f>_xlfn.IFNA(INDEX(Table_INPUT_2D[Y],MATCH(Table83[[#This Row],[UID]],Table_INPUT_2D[Unique ID],0)),"")</f>
        <v>4500.6890000000003</v>
      </c>
      <c r="D36" s="170">
        <f>_xlfn.IFNA(INDEX(Table_INPUT_2D[Z],MATCH(Table83[[#This Row],[UID]],Table_INPUT_2D[Unique ID],0)),"")</f>
        <v>258.02999999999997</v>
      </c>
      <c r="E36" s="146" t="s">
        <v>518</v>
      </c>
      <c r="G36" s="2" t="str">
        <f t="shared" si="7"/>
        <v>MR9087A</v>
      </c>
      <c r="H36" s="2">
        <f t="shared" si="8"/>
        <v>11413.504000000001</v>
      </c>
      <c r="I36" s="2">
        <f t="shared" si="9"/>
        <v>4500.6890000000003</v>
      </c>
      <c r="J36" s="2">
        <f t="shared" si="10"/>
        <v>258.02999999999997</v>
      </c>
      <c r="K36" s="56"/>
      <c r="L36" s="56"/>
      <c r="M36" s="56"/>
      <c r="N36" s="56">
        <f>$M37-$M35</f>
        <v>-2.9664999999999395</v>
      </c>
      <c r="O36" s="56"/>
      <c r="P36" s="57"/>
      <c r="Q36"/>
      <c r="R36"/>
      <c r="S36"/>
      <c r="T36"/>
      <c r="U36"/>
      <c r="V36"/>
      <c r="W36" s="57"/>
      <c r="X36"/>
      <c r="Y36"/>
      <c r="Z36"/>
      <c r="AA36"/>
      <c r="AB36"/>
      <c r="AC36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</row>
    <row r="37" spans="1:41" x14ac:dyDescent="0.2">
      <c r="A37" s="142" t="s">
        <v>514</v>
      </c>
      <c r="B37" s="169">
        <f>_xlfn.IFNA(INDEX(Table_INPUT_2D[X],MATCH(Table83[[#This Row],[UID]],Table_INPUT_2D[Unique ID],0)),"")</f>
        <v>11416.741</v>
      </c>
      <c r="C37" s="171">
        <f>_xlfn.IFNA(INDEX(Table_INPUT_2D[Y],MATCH(Table83[[#This Row],[UID]],Table_INPUT_2D[Unique ID],0)),"")</f>
        <v>4477.683</v>
      </c>
      <c r="D37" s="170">
        <f>_xlfn.IFNA(INDEX(Table_INPUT_2D[Z],MATCH(Table83[[#This Row],[UID]],Table_INPUT_2D[Unique ID],0)),"")</f>
        <v>255.066</v>
      </c>
      <c r="E37" s="146" t="s">
        <v>513</v>
      </c>
      <c r="G37" s="2" t="str">
        <f t="shared" si="7"/>
        <v>MR9087</v>
      </c>
      <c r="H37" s="2">
        <f t="shared" si="8"/>
        <v>11416.741</v>
      </c>
      <c r="I37" s="2">
        <f t="shared" si="9"/>
        <v>4477.683</v>
      </c>
      <c r="J37" s="2">
        <f t="shared" si="10"/>
        <v>255.066</v>
      </c>
      <c r="K37" s="56">
        <f>AVERAGE($H37,$H38)</f>
        <v>11416.7405</v>
      </c>
      <c r="L37" s="56">
        <f>AVERAGE($I37,$I38)</f>
        <v>4477.6824999999999</v>
      </c>
      <c r="M37" s="56">
        <f>AVERAGE($J37,$J38)</f>
        <v>255.06450000000001</v>
      </c>
      <c r="N37" s="57"/>
      <c r="O37" s="56">
        <f>$O35+($N36)</f>
        <v>173.91270092975233</v>
      </c>
      <c r="P37" s="57"/>
      <c r="Q37"/>
      <c r="R37"/>
      <c r="S37"/>
      <c r="T37"/>
      <c r="U37"/>
      <c r="V37"/>
      <c r="W37" s="57"/>
      <c r="X37"/>
      <c r="Y37"/>
      <c r="Z37"/>
      <c r="AA37"/>
      <c r="AB37"/>
      <c r="AC3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</row>
    <row r="38" spans="1:41" x14ac:dyDescent="0.2">
      <c r="A38" s="142" t="s">
        <v>514</v>
      </c>
      <c r="B38" s="169">
        <f>_xlfn.IFNA(INDEX(Table_INPUT_2D[X],MATCH(Table83[[#This Row],[UID]],Table_INPUT_2D[Unique ID],0)),"")</f>
        <v>11416.74</v>
      </c>
      <c r="C38" s="171">
        <f>_xlfn.IFNA(INDEX(Table_INPUT_2D[Y],MATCH(Table83[[#This Row],[UID]],Table_INPUT_2D[Unique ID],0)),"")</f>
        <v>4477.6819999999998</v>
      </c>
      <c r="D38" s="170">
        <f>_xlfn.IFNA(INDEX(Table_INPUT_2D[Z],MATCH(Table83[[#This Row],[UID]],Table_INPUT_2D[Unique ID],0)),"")</f>
        <v>255.06299999999999</v>
      </c>
      <c r="E38" s="146" t="s">
        <v>515</v>
      </c>
      <c r="G38" s="2" t="str">
        <f t="shared" si="7"/>
        <v>MR9087</v>
      </c>
      <c r="H38" s="2">
        <f t="shared" si="8"/>
        <v>11416.74</v>
      </c>
      <c r="I38" s="2">
        <f t="shared" si="9"/>
        <v>4477.6819999999998</v>
      </c>
      <c r="J38" s="2">
        <f t="shared" si="10"/>
        <v>255.06299999999999</v>
      </c>
      <c r="K38" s="57"/>
      <c r="L38" s="57"/>
      <c r="M38" s="57"/>
      <c r="N38" s="56"/>
      <c r="O38" s="56"/>
      <c r="P38" s="57"/>
      <c r="Q38"/>
      <c r="R38"/>
      <c r="S38"/>
      <c r="T38"/>
      <c r="U38"/>
      <c r="V38"/>
      <c r="W38" s="57"/>
      <c r="X38"/>
      <c r="Y38"/>
      <c r="Z38"/>
      <c r="AA38"/>
      <c r="AB38"/>
      <c r="AC38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</row>
    <row r="39" spans="1:41" x14ac:dyDescent="0.2">
      <c r="O39" s="56"/>
      <c r="P39" s="57"/>
      <c r="Q39"/>
      <c r="R39"/>
      <c r="S39"/>
      <c r="T39"/>
      <c r="U39"/>
      <c r="V39"/>
      <c r="W39" s="57"/>
      <c r="X39"/>
      <c r="Y39"/>
      <c r="Z39"/>
      <c r="AA39"/>
      <c r="AB39"/>
      <c r="AC39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</row>
    <row r="40" spans="1:41" x14ac:dyDescent="0.2">
      <c r="O40" s="56"/>
      <c r="P40" s="57"/>
      <c r="Q40"/>
      <c r="R40"/>
      <c r="S40"/>
      <c r="T40"/>
      <c r="U40"/>
      <c r="V40"/>
      <c r="W40" s="57"/>
      <c r="X40"/>
      <c r="Y40"/>
      <c r="Z40"/>
      <c r="AA40"/>
      <c r="AB40"/>
      <c r="AC40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</row>
    <row r="41" spans="1:41" x14ac:dyDescent="0.2">
      <c r="K41" s="174"/>
      <c r="L41" s="174"/>
      <c r="M41" s="174"/>
      <c r="N41" s="174"/>
      <c r="O41" s="175"/>
      <c r="P41" s="174"/>
      <c r="Q41"/>
      <c r="R41"/>
      <c r="S41"/>
      <c r="T41"/>
      <c r="U41"/>
      <c r="V41"/>
      <c r="W41" s="57"/>
      <c r="X41"/>
      <c r="Y41"/>
      <c r="Z41"/>
      <c r="AA41"/>
      <c r="AB41"/>
      <c r="AC41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</row>
    <row r="42" spans="1:41" x14ac:dyDescent="0.2">
      <c r="K42" s="174"/>
      <c r="L42" s="174"/>
      <c r="M42" s="174"/>
      <c r="N42" s="174"/>
      <c r="O42" s="175"/>
      <c r="P42" s="174"/>
      <c r="Q42"/>
      <c r="R42"/>
      <c r="S42"/>
      <c r="T42"/>
      <c r="U42"/>
      <c r="V42"/>
      <c r="W42" s="57"/>
      <c r="X42"/>
      <c r="Y42"/>
      <c r="Z42"/>
      <c r="AA42"/>
      <c r="AB42"/>
      <c r="AC42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</row>
    <row r="43" spans="1:41" x14ac:dyDescent="0.2">
      <c r="K43" s="174"/>
      <c r="L43" s="174"/>
      <c r="M43" s="174"/>
      <c r="N43" s="174"/>
      <c r="O43" s="175"/>
      <c r="P43" s="174"/>
      <c r="Q43"/>
      <c r="R43"/>
      <c r="S43"/>
      <c r="T43"/>
      <c r="U43"/>
      <c r="V43"/>
      <c r="W43" s="57"/>
      <c r="X43"/>
      <c r="Y43"/>
      <c r="Z43"/>
      <c r="AA43"/>
      <c r="AB43"/>
      <c r="AC43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</row>
    <row r="44" spans="1:41" x14ac:dyDescent="0.2">
      <c r="K44" s="174"/>
      <c r="L44" s="174"/>
      <c r="M44" s="174"/>
      <c r="N44" s="174"/>
      <c r="O44" s="175"/>
      <c r="P44" s="174"/>
      <c r="Q44"/>
      <c r="R44"/>
      <c r="S44"/>
      <c r="T44"/>
      <c r="U44"/>
      <c r="V44"/>
      <c r="W44" s="57"/>
      <c r="X44"/>
      <c r="Y44"/>
      <c r="Z44"/>
      <c r="AA44"/>
      <c r="AB44"/>
      <c r="AC44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</row>
    <row r="45" spans="1:41" x14ac:dyDescent="0.2">
      <c r="K45" s="174"/>
      <c r="L45" s="174"/>
      <c r="M45" s="174"/>
      <c r="N45" s="174"/>
      <c r="O45" s="175"/>
      <c r="P45" s="174"/>
      <c r="Q45"/>
      <c r="R45"/>
      <c r="S45"/>
      <c r="T45"/>
      <c r="U45"/>
      <c r="V45"/>
      <c r="W45" s="57"/>
      <c r="X45"/>
      <c r="Y45"/>
      <c r="Z45"/>
      <c r="AA45"/>
      <c r="AB45"/>
      <c r="AC45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</row>
    <row r="46" spans="1:41" x14ac:dyDescent="0.2">
      <c r="K46" s="174"/>
      <c r="L46" s="174"/>
      <c r="M46" s="174"/>
      <c r="N46" s="174"/>
      <c r="O46" s="175"/>
      <c r="P46" s="174"/>
      <c r="Q46"/>
      <c r="R46"/>
      <c r="S46"/>
      <c r="T46"/>
      <c r="U46"/>
      <c r="V46"/>
      <c r="W46" s="57"/>
      <c r="X46"/>
      <c r="Y46"/>
      <c r="Z46"/>
      <c r="AA46"/>
      <c r="AB46"/>
      <c r="AC46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</row>
    <row r="47" spans="1:41" x14ac:dyDescent="0.2">
      <c r="K47" s="174"/>
      <c r="L47" s="174"/>
      <c r="M47" s="174"/>
      <c r="N47" s="174"/>
      <c r="O47" s="175"/>
      <c r="P47" s="174"/>
      <c r="Q47"/>
      <c r="R47"/>
      <c r="S47"/>
      <c r="T47"/>
      <c r="U47"/>
      <c r="V47"/>
      <c r="W47" s="57"/>
      <c r="X47"/>
      <c r="Y47"/>
      <c r="Z47"/>
      <c r="AA47"/>
      <c r="AB47"/>
      <c r="AC4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</row>
    <row r="48" spans="1:41" x14ac:dyDescent="0.2">
      <c r="K48" s="174"/>
      <c r="L48" s="174"/>
      <c r="M48" s="174"/>
      <c r="N48" s="174"/>
      <c r="O48" s="175"/>
      <c r="P48" s="174"/>
      <c r="Q48"/>
      <c r="R48"/>
      <c r="S48"/>
      <c r="T48"/>
      <c r="U48"/>
      <c r="V48"/>
      <c r="W48" s="57"/>
      <c r="X48"/>
      <c r="Y48"/>
      <c r="Z48"/>
      <c r="AA48"/>
      <c r="AB48"/>
      <c r="AC48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</row>
    <row r="49" spans="11:41" x14ac:dyDescent="0.2">
      <c r="K49" s="174"/>
      <c r="L49" s="174"/>
      <c r="M49" s="174"/>
      <c r="N49" s="174"/>
      <c r="O49" s="175"/>
      <c r="P49" s="174"/>
      <c r="Q49"/>
      <c r="R49"/>
      <c r="S49"/>
      <c r="T49"/>
      <c r="U49"/>
      <c r="V49"/>
      <c r="W49" s="57"/>
      <c r="X49"/>
      <c r="Y49"/>
      <c r="Z49"/>
      <c r="AA49"/>
      <c r="AB49"/>
      <c r="AC49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</row>
    <row r="50" spans="11:41" x14ac:dyDescent="0.2">
      <c r="K50" s="174"/>
      <c r="L50" s="174"/>
      <c r="M50" s="174"/>
      <c r="N50" s="174"/>
      <c r="O50" s="175"/>
      <c r="P50" s="174"/>
      <c r="Q50"/>
      <c r="R50"/>
      <c r="S50"/>
      <c r="T50"/>
      <c r="U50"/>
      <c r="V50"/>
      <c r="W50" s="57"/>
      <c r="X50"/>
      <c r="Y50"/>
      <c r="Z50"/>
      <c r="AA50"/>
      <c r="AB50"/>
      <c r="AC50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</row>
    <row r="51" spans="11:41" x14ac:dyDescent="0.2">
      <c r="K51" s="174"/>
      <c r="L51" s="174"/>
      <c r="M51" s="174"/>
      <c r="N51" s="174"/>
      <c r="O51" s="175"/>
      <c r="P51" s="174"/>
      <c r="Q51"/>
      <c r="R51"/>
      <c r="S51"/>
      <c r="T51"/>
      <c r="U51"/>
      <c r="V51"/>
      <c r="W51" s="57"/>
      <c r="X51"/>
      <c r="Y51"/>
      <c r="Z51"/>
      <c r="AA51"/>
      <c r="AB51"/>
      <c r="AC51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</row>
    <row r="52" spans="11:41" x14ac:dyDescent="0.2">
      <c r="K52" s="174"/>
      <c r="L52" s="174"/>
      <c r="M52" s="174"/>
      <c r="N52" s="174"/>
      <c r="O52" s="175"/>
      <c r="P52" s="174"/>
      <c r="Q52"/>
      <c r="R52"/>
      <c r="S52"/>
      <c r="T52"/>
      <c r="U52"/>
      <c r="V52"/>
      <c r="W52" s="57"/>
      <c r="X52"/>
      <c r="Y52"/>
      <c r="Z52"/>
      <c r="AA52"/>
      <c r="AB52"/>
      <c r="AC52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</row>
    <row r="53" spans="11:41" x14ac:dyDescent="0.2">
      <c r="K53" s="174"/>
      <c r="L53" s="174"/>
      <c r="M53" s="174"/>
      <c r="N53" s="174"/>
      <c r="O53" s="175"/>
      <c r="P53" s="174"/>
      <c r="Q53"/>
      <c r="R53"/>
      <c r="S53"/>
      <c r="T53"/>
      <c r="U53"/>
      <c r="V53"/>
      <c r="W53" s="57"/>
      <c r="X53"/>
      <c r="Y53"/>
      <c r="Z53"/>
      <c r="AA53"/>
      <c r="AB53"/>
      <c r="AC53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</row>
    <row r="54" spans="11:41" x14ac:dyDescent="0.2">
      <c r="K54" s="174"/>
      <c r="L54" s="174"/>
      <c r="M54" s="174"/>
      <c r="N54" s="174"/>
      <c r="O54" s="175"/>
      <c r="P54" s="174"/>
      <c r="Q54"/>
      <c r="R54"/>
      <c r="S54"/>
      <c r="T54"/>
      <c r="U54"/>
      <c r="V54"/>
      <c r="W54" s="57"/>
      <c r="X54"/>
      <c r="Y54"/>
      <c r="Z54"/>
      <c r="AA54"/>
      <c r="AB54"/>
      <c r="AC54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</row>
    <row r="55" spans="11:41" x14ac:dyDescent="0.2">
      <c r="K55" s="174"/>
      <c r="L55" s="174"/>
      <c r="M55" s="174"/>
      <c r="N55" s="174"/>
      <c r="O55" s="175"/>
      <c r="P55" s="174"/>
      <c r="Q55"/>
      <c r="R55"/>
      <c r="S55"/>
      <c r="T55"/>
      <c r="U55"/>
      <c r="V55"/>
      <c r="W55" s="57"/>
      <c r="X55"/>
      <c r="Y55"/>
      <c r="Z55"/>
      <c r="AA55"/>
      <c r="AB55"/>
      <c r="AC55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</row>
    <row r="56" spans="11:41" x14ac:dyDescent="0.2">
      <c r="K56" s="174"/>
      <c r="L56" s="174"/>
      <c r="M56" s="174"/>
      <c r="N56" s="174"/>
      <c r="O56" s="175"/>
      <c r="P56" s="174"/>
      <c r="Q56"/>
      <c r="R56"/>
      <c r="S56"/>
      <c r="T56"/>
      <c r="U56"/>
      <c r="V56"/>
      <c r="W56" s="57"/>
      <c r="X56"/>
      <c r="Y56"/>
      <c r="Z56"/>
      <c r="AA56"/>
      <c r="AB56"/>
      <c r="AC56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</row>
    <row r="57" spans="11:41" x14ac:dyDescent="0.2">
      <c r="K57" s="174"/>
      <c r="L57" s="174"/>
      <c r="M57" s="174"/>
      <c r="N57" s="174"/>
      <c r="O57" s="175"/>
      <c r="P57" s="174"/>
      <c r="Q57"/>
      <c r="R57"/>
      <c r="S57"/>
      <c r="T57"/>
      <c r="U57"/>
      <c r="V57"/>
      <c r="W57" s="57"/>
      <c r="X57"/>
      <c r="Y57"/>
      <c r="Z57"/>
      <c r="AA57"/>
      <c r="AB57"/>
      <c r="AC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</row>
    <row r="58" spans="11:41" x14ac:dyDescent="0.2">
      <c r="K58" s="174"/>
      <c r="L58" s="174"/>
      <c r="M58" s="174"/>
      <c r="N58" s="174"/>
      <c r="O58" s="175"/>
      <c r="P58" s="174"/>
      <c r="Q58"/>
      <c r="R58"/>
      <c r="S58"/>
      <c r="T58"/>
      <c r="U58"/>
      <c r="V58"/>
      <c r="W58" s="57"/>
      <c r="X58"/>
      <c r="Y58"/>
      <c r="Z58"/>
      <c r="AA58"/>
      <c r="AB58"/>
      <c r="AC58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</row>
    <row r="59" spans="11:41" x14ac:dyDescent="0.2">
      <c r="K59" s="174"/>
      <c r="L59" s="174"/>
      <c r="M59" s="174"/>
      <c r="N59" s="174"/>
      <c r="O59" s="175"/>
      <c r="P59" s="174"/>
      <c r="Q59"/>
      <c r="R59"/>
      <c r="S59"/>
      <c r="T59"/>
      <c r="U59"/>
      <c r="V59"/>
      <c r="W59" s="57"/>
      <c r="X59"/>
      <c r="Y59"/>
      <c r="Z59"/>
      <c r="AA59"/>
      <c r="AB59"/>
      <c r="AC59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</row>
    <row r="60" spans="11:41" x14ac:dyDescent="0.2">
      <c r="K60" s="174"/>
      <c r="L60" s="174"/>
      <c r="M60" s="174"/>
      <c r="N60" s="174"/>
      <c r="O60" s="175"/>
      <c r="P60" s="174"/>
      <c r="Q60"/>
      <c r="R60"/>
      <c r="S60"/>
      <c r="T60"/>
      <c r="U60"/>
      <c r="V60"/>
      <c r="W60" s="57"/>
      <c r="X60"/>
      <c r="Y60"/>
      <c r="Z60"/>
      <c r="AA60"/>
      <c r="AB60"/>
      <c r="AC60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</row>
    <row r="61" spans="11:41" x14ac:dyDescent="0.2">
      <c r="K61" s="174"/>
      <c r="L61" s="174"/>
      <c r="M61" s="174"/>
      <c r="N61" s="174"/>
      <c r="O61" s="175"/>
      <c r="P61" s="174"/>
      <c r="Q61"/>
      <c r="R61"/>
      <c r="S61"/>
      <c r="T61"/>
      <c r="U61"/>
      <c r="V61"/>
      <c r="W61" s="57"/>
      <c r="X61"/>
      <c r="Y61"/>
      <c r="Z61"/>
      <c r="AA61"/>
      <c r="AB61"/>
      <c r="AC61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</row>
    <row r="62" spans="11:41" x14ac:dyDescent="0.2">
      <c r="K62" s="174"/>
      <c r="L62" s="174"/>
      <c r="M62" s="174"/>
      <c r="N62" s="174"/>
      <c r="O62" s="175"/>
      <c r="P62" s="174"/>
      <c r="Q62"/>
      <c r="R62"/>
      <c r="S62"/>
      <c r="T62"/>
      <c r="U62"/>
      <c r="V62"/>
      <c r="W62" s="57"/>
      <c r="X62"/>
      <c r="Y62"/>
      <c r="Z62"/>
      <c r="AA62"/>
      <c r="AB62"/>
      <c r="AC62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</row>
    <row r="63" spans="11:41" x14ac:dyDescent="0.2">
      <c r="K63" s="174"/>
      <c r="L63" s="174"/>
      <c r="M63" s="174"/>
      <c r="N63" s="174"/>
      <c r="O63" s="175"/>
      <c r="P63" s="174"/>
      <c r="Q63"/>
      <c r="R63"/>
      <c r="S63"/>
      <c r="T63"/>
      <c r="U63"/>
      <c r="V63"/>
      <c r="W63" s="57"/>
      <c r="X63"/>
      <c r="Y63"/>
      <c r="Z63"/>
      <c r="AA63"/>
      <c r="AB63"/>
      <c r="AC63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</row>
    <row r="64" spans="11:41" x14ac:dyDescent="0.2">
      <c r="K64" s="174"/>
      <c r="L64" s="174"/>
      <c r="M64" s="174"/>
      <c r="N64" s="174"/>
      <c r="O64" s="175"/>
      <c r="P64" s="174"/>
      <c r="Q64"/>
      <c r="R64"/>
      <c r="S64"/>
      <c r="T64"/>
      <c r="U64"/>
      <c r="V64"/>
      <c r="W64" s="57"/>
      <c r="X64"/>
      <c r="Y64"/>
      <c r="Z64"/>
      <c r="AA64"/>
      <c r="AB64"/>
      <c r="AC64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</row>
    <row r="65" spans="11:41" x14ac:dyDescent="0.2">
      <c r="K65" s="174"/>
      <c r="L65" s="174"/>
      <c r="M65" s="174"/>
      <c r="N65" s="174"/>
      <c r="O65" s="175"/>
      <c r="P65" s="174"/>
      <c r="Q65"/>
      <c r="R65"/>
      <c r="S65"/>
      <c r="T65"/>
      <c r="U65"/>
      <c r="V65"/>
      <c r="W65" s="57"/>
      <c r="X65"/>
      <c r="Y65"/>
      <c r="Z65"/>
      <c r="AA65"/>
      <c r="AB65"/>
      <c r="AC65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</row>
    <row r="66" spans="11:41" x14ac:dyDescent="0.2">
      <c r="K66" s="174"/>
      <c r="L66" s="174"/>
      <c r="M66" s="174"/>
      <c r="N66" s="174"/>
      <c r="O66" s="175"/>
      <c r="P66" s="174"/>
      <c r="Q66"/>
      <c r="R66"/>
      <c r="S66"/>
      <c r="T66"/>
      <c r="U66"/>
      <c r="V66"/>
      <c r="W66" s="57"/>
      <c r="X66"/>
      <c r="Y66"/>
      <c r="Z66"/>
      <c r="AA66"/>
      <c r="AB66"/>
      <c r="AC66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</row>
    <row r="67" spans="11:41" x14ac:dyDescent="0.2">
      <c r="K67" s="174"/>
      <c r="L67" s="174"/>
      <c r="M67" s="174"/>
      <c r="N67" s="174"/>
      <c r="O67" s="175"/>
      <c r="P67" s="174"/>
      <c r="Q67"/>
      <c r="R67"/>
      <c r="S67"/>
      <c r="T67"/>
      <c r="U67"/>
      <c r="V67"/>
      <c r="W67" s="57"/>
      <c r="X67"/>
      <c r="Y67"/>
      <c r="Z67"/>
      <c r="AA67"/>
      <c r="AB67"/>
      <c r="AC6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</row>
    <row r="68" spans="11:41" x14ac:dyDescent="0.2">
      <c r="K68" s="174"/>
      <c r="L68" s="174"/>
      <c r="M68" s="174"/>
      <c r="N68" s="174"/>
      <c r="O68" s="175"/>
      <c r="P68" s="174"/>
      <c r="Q68"/>
      <c r="R68"/>
      <c r="S68"/>
      <c r="T68"/>
      <c r="U68"/>
      <c r="V68"/>
      <c r="W68" s="57"/>
      <c r="X68"/>
      <c r="Y68"/>
      <c r="Z68"/>
      <c r="AA68"/>
      <c r="AB68"/>
      <c r="AC68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</row>
    <row r="69" spans="11:41" x14ac:dyDescent="0.2">
      <c r="K69" s="174"/>
      <c r="L69" s="174"/>
      <c r="M69" s="174"/>
      <c r="N69" s="174"/>
      <c r="O69" s="175"/>
      <c r="P69" s="174"/>
      <c r="Q69"/>
      <c r="R69"/>
      <c r="S69"/>
      <c r="T69"/>
      <c r="U69"/>
      <c r="V69"/>
      <c r="W69" s="57"/>
      <c r="X69"/>
      <c r="Y69"/>
      <c r="Z69"/>
      <c r="AA69"/>
      <c r="AB69"/>
      <c r="AC69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</row>
    <row r="70" spans="11:41" x14ac:dyDescent="0.2">
      <c r="K70" s="174"/>
      <c r="L70" s="174"/>
      <c r="M70" s="174"/>
      <c r="N70" s="174"/>
      <c r="O70" s="175"/>
      <c r="P70" s="174"/>
      <c r="Q70"/>
      <c r="R70"/>
      <c r="S70"/>
      <c r="T70"/>
      <c r="U70"/>
      <c r="V70"/>
      <c r="W70" s="57"/>
      <c r="X70"/>
      <c r="Y70"/>
      <c r="Z70"/>
      <c r="AA70"/>
      <c r="AB70"/>
      <c r="AC70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</row>
    <row r="71" spans="11:41" x14ac:dyDescent="0.2">
      <c r="K71" s="174"/>
      <c r="L71" s="174"/>
      <c r="M71" s="174"/>
      <c r="N71" s="174"/>
      <c r="O71" s="175"/>
      <c r="P71" s="174"/>
      <c r="Q71"/>
      <c r="R71"/>
      <c r="S71"/>
      <c r="T71"/>
      <c r="U71"/>
      <c r="V71"/>
      <c r="W71" s="57"/>
      <c r="X71"/>
      <c r="Y71"/>
      <c r="Z71"/>
      <c r="AA71"/>
      <c r="AB71"/>
      <c r="AC71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</row>
    <row r="72" spans="11:41" x14ac:dyDescent="0.2">
      <c r="K72" s="174"/>
      <c r="L72" s="174"/>
      <c r="M72" s="174"/>
      <c r="N72" s="174"/>
      <c r="O72" s="175"/>
      <c r="P72" s="174"/>
      <c r="Q72"/>
      <c r="R72"/>
      <c r="S72"/>
      <c r="T72"/>
      <c r="U72"/>
      <c r="V72"/>
      <c r="W72" s="57"/>
      <c r="X72"/>
      <c r="Y72"/>
      <c r="Z72"/>
      <c r="AA72"/>
      <c r="AB72"/>
      <c r="AC72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</row>
    <row r="73" spans="11:41" x14ac:dyDescent="0.2">
      <c r="K73" s="174"/>
      <c r="L73" s="174"/>
      <c r="M73" s="174"/>
      <c r="N73" s="174"/>
      <c r="O73" s="175"/>
      <c r="P73" s="174"/>
      <c r="Q73"/>
      <c r="R73"/>
      <c r="S73"/>
      <c r="T73"/>
      <c r="U73"/>
      <c r="V73"/>
      <c r="W73" s="57"/>
      <c r="X73"/>
      <c r="Y73"/>
      <c r="Z73"/>
      <c r="AA73"/>
      <c r="AB73"/>
      <c r="AC73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</row>
    <row r="74" spans="11:41" x14ac:dyDescent="0.2">
      <c r="K74" s="174"/>
      <c r="L74" s="174"/>
      <c r="M74" s="174"/>
      <c r="N74" s="174"/>
      <c r="O74" s="175"/>
      <c r="P74" s="174"/>
      <c r="Q74"/>
      <c r="R74"/>
      <c r="S74"/>
      <c r="T74"/>
      <c r="U74"/>
      <c r="V74"/>
      <c r="W74" s="57"/>
      <c r="X74"/>
      <c r="Y74"/>
      <c r="Z74"/>
      <c r="AA74"/>
      <c r="AB74"/>
      <c r="AC74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</row>
    <row r="75" spans="11:41" x14ac:dyDescent="0.2">
      <c r="K75" s="174"/>
      <c r="L75" s="174"/>
      <c r="M75" s="174"/>
      <c r="N75" s="174"/>
      <c r="O75" s="175"/>
      <c r="P75" s="174"/>
      <c r="Q75"/>
      <c r="R75"/>
      <c r="S75"/>
      <c r="T75"/>
      <c r="U75"/>
      <c r="V75"/>
      <c r="W75" s="57"/>
      <c r="X75"/>
      <c r="Y75"/>
      <c r="Z75"/>
      <c r="AA75"/>
      <c r="AB75"/>
      <c r="AC75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</row>
    <row r="76" spans="11:41" x14ac:dyDescent="0.2">
      <c r="K76" s="174"/>
      <c r="L76" s="174"/>
      <c r="M76" s="174"/>
      <c r="N76" s="174"/>
      <c r="O76" s="175"/>
      <c r="P76" s="174"/>
      <c r="Q76"/>
      <c r="R76"/>
      <c r="S76"/>
      <c r="T76"/>
      <c r="U76"/>
      <c r="V76"/>
      <c r="W76" s="57"/>
      <c r="X76"/>
      <c r="Y76"/>
      <c r="Z76"/>
      <c r="AA76"/>
      <c r="AB76"/>
      <c r="AC76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</row>
    <row r="77" spans="11:41" x14ac:dyDescent="0.2">
      <c r="K77" s="174"/>
      <c r="L77" s="174"/>
      <c r="M77" s="174"/>
      <c r="N77" s="174"/>
      <c r="O77" s="175"/>
      <c r="P77" s="174"/>
      <c r="Q77"/>
      <c r="R77"/>
      <c r="S77"/>
      <c r="T77"/>
      <c r="U77"/>
      <c r="V77"/>
      <c r="W77" s="57"/>
      <c r="X77"/>
      <c r="Y77"/>
      <c r="Z77"/>
      <c r="AA77"/>
      <c r="AB77"/>
      <c r="AC7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</row>
    <row r="78" spans="11:41" x14ac:dyDescent="0.2">
      <c r="K78" s="174"/>
      <c r="L78" s="174"/>
      <c r="M78" s="174"/>
      <c r="N78" s="174"/>
      <c r="O78" s="175"/>
      <c r="P78" s="174"/>
      <c r="Q78"/>
      <c r="R78"/>
      <c r="S78"/>
      <c r="T78"/>
      <c r="U78"/>
      <c r="V78"/>
      <c r="W78" s="57"/>
      <c r="X78"/>
      <c r="Y78"/>
      <c r="Z78"/>
      <c r="AA78"/>
      <c r="AB78"/>
      <c r="AC78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</row>
    <row r="79" spans="11:41" x14ac:dyDescent="0.2">
      <c r="K79" s="174"/>
      <c r="L79" s="174"/>
      <c r="M79" s="174"/>
      <c r="N79" s="174"/>
      <c r="O79" s="175"/>
      <c r="P79" s="174"/>
      <c r="Q79"/>
      <c r="R79"/>
      <c r="S79"/>
      <c r="T79"/>
      <c r="U79"/>
      <c r="V79"/>
      <c r="W79" s="57"/>
      <c r="X79"/>
      <c r="Y79"/>
      <c r="Z79"/>
      <c r="AA79"/>
      <c r="AB79"/>
      <c r="AC79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</row>
    <row r="80" spans="11:41" x14ac:dyDescent="0.2">
      <c r="K80" s="174"/>
      <c r="L80" s="174"/>
      <c r="M80" s="174"/>
      <c r="N80" s="174"/>
      <c r="O80" s="175"/>
      <c r="P80" s="174"/>
      <c r="Q80"/>
      <c r="R80"/>
      <c r="S80"/>
      <c r="T80"/>
      <c r="U80"/>
      <c r="V80"/>
      <c r="W80" s="57"/>
      <c r="X80"/>
      <c r="Y80"/>
      <c r="Z80"/>
      <c r="AA80"/>
      <c r="AB80"/>
      <c r="AC80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</row>
    <row r="81" spans="11:41" x14ac:dyDescent="0.2">
      <c r="K81" s="174"/>
      <c r="L81" s="174"/>
      <c r="M81" s="174"/>
      <c r="N81" s="174"/>
      <c r="O81" s="175"/>
      <c r="P81" s="174"/>
      <c r="Q81"/>
      <c r="R81"/>
      <c r="S81"/>
      <c r="T81"/>
      <c r="U81"/>
      <c r="V81"/>
      <c r="W81" s="57"/>
      <c r="X81"/>
      <c r="Y81"/>
      <c r="Z81"/>
      <c r="AA81"/>
      <c r="AB81"/>
      <c r="AC81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</row>
    <row r="82" spans="11:41" x14ac:dyDescent="0.2">
      <c r="K82" s="174"/>
      <c r="L82" s="174"/>
      <c r="M82" s="174"/>
      <c r="N82" s="174"/>
      <c r="O82" s="175"/>
      <c r="P82" s="174"/>
      <c r="Q82"/>
      <c r="R82"/>
      <c r="S82"/>
      <c r="T82"/>
      <c r="U82"/>
      <c r="V82"/>
      <c r="W82" s="57"/>
      <c r="X82"/>
      <c r="Y82"/>
      <c r="Z82"/>
      <c r="AA82"/>
      <c r="AB82"/>
      <c r="AC82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</row>
    <row r="83" spans="11:41" x14ac:dyDescent="0.2">
      <c r="K83" s="174"/>
      <c r="L83" s="174"/>
      <c r="M83" s="174"/>
      <c r="N83" s="174"/>
      <c r="O83" s="175"/>
      <c r="P83" s="174"/>
      <c r="Q83"/>
      <c r="R83"/>
      <c r="S83"/>
      <c r="T83"/>
      <c r="U83"/>
      <c r="V83"/>
      <c r="W83" s="57"/>
      <c r="X83"/>
      <c r="Y83"/>
      <c r="Z83"/>
      <c r="AA83"/>
      <c r="AB83"/>
      <c r="AC83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</row>
    <row r="84" spans="11:41" x14ac:dyDescent="0.2">
      <c r="K84" s="174"/>
      <c r="L84" s="174"/>
      <c r="M84" s="174"/>
      <c r="N84" s="174"/>
      <c r="O84" s="175"/>
      <c r="P84" s="174"/>
      <c r="Q84"/>
      <c r="R84"/>
      <c r="S84"/>
      <c r="T84"/>
      <c r="U84"/>
      <c r="V84"/>
      <c r="W84" s="57"/>
      <c r="X84"/>
      <c r="Y84"/>
      <c r="Z84"/>
      <c r="AA84"/>
      <c r="AB84"/>
      <c r="AC84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</row>
    <row r="85" spans="11:41" x14ac:dyDescent="0.2">
      <c r="K85" s="174"/>
      <c r="L85" s="174"/>
      <c r="M85" s="174"/>
      <c r="N85" s="174"/>
      <c r="O85" s="175"/>
      <c r="P85" s="174"/>
      <c r="Q85"/>
      <c r="R85"/>
      <c r="S85"/>
      <c r="T85"/>
      <c r="U85"/>
      <c r="V85"/>
      <c r="W85" s="57"/>
      <c r="X85"/>
      <c r="Y85"/>
      <c r="Z85"/>
      <c r="AA85"/>
      <c r="AB85"/>
      <c r="AC85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</row>
    <row r="86" spans="11:41" x14ac:dyDescent="0.2">
      <c r="K86" s="174"/>
      <c r="L86" s="174"/>
      <c r="M86" s="174"/>
      <c r="N86" s="174"/>
      <c r="O86" s="175"/>
      <c r="P86" s="174"/>
      <c r="Q86"/>
      <c r="R86"/>
      <c r="S86"/>
      <c r="T86"/>
      <c r="U86"/>
      <c r="V86"/>
      <c r="W86" s="57"/>
      <c r="X86"/>
      <c r="Y86"/>
      <c r="Z86"/>
      <c r="AA86"/>
      <c r="AB86"/>
      <c r="AC86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</row>
    <row r="87" spans="11:41" x14ac:dyDescent="0.2">
      <c r="K87" s="174"/>
      <c r="L87" s="174"/>
      <c r="M87" s="174"/>
      <c r="N87" s="174"/>
      <c r="O87" s="175"/>
      <c r="P87" s="174"/>
      <c r="Q87"/>
      <c r="R87"/>
      <c r="S87"/>
      <c r="T87"/>
      <c r="U87"/>
      <c r="V87"/>
      <c r="W87" s="57"/>
      <c r="X87"/>
      <c r="Y87"/>
      <c r="Z87"/>
      <c r="AA87"/>
      <c r="AB87"/>
      <c r="AC8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</row>
    <row r="88" spans="11:41" x14ac:dyDescent="0.2">
      <c r="K88" s="174"/>
      <c r="L88" s="174"/>
      <c r="M88" s="174"/>
      <c r="N88" s="174"/>
      <c r="O88" s="175"/>
      <c r="P88" s="174"/>
      <c r="Q88"/>
      <c r="R88"/>
      <c r="S88"/>
      <c r="T88"/>
      <c r="U88"/>
      <c r="V88"/>
      <c r="W88" s="57"/>
      <c r="X88"/>
      <c r="Y88"/>
      <c r="Z88"/>
      <c r="AA88"/>
      <c r="AB88"/>
      <c r="AC88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</row>
    <row r="89" spans="11:41" x14ac:dyDescent="0.2">
      <c r="K89" s="174"/>
      <c r="L89" s="174"/>
      <c r="M89" s="174"/>
      <c r="N89" s="174"/>
      <c r="O89" s="175"/>
      <c r="P89" s="174"/>
      <c r="Q89"/>
      <c r="R89"/>
      <c r="S89"/>
      <c r="T89"/>
      <c r="U89"/>
      <c r="V89"/>
      <c r="W89" s="57"/>
      <c r="X89"/>
      <c r="Y89"/>
      <c r="Z89"/>
      <c r="AA89"/>
      <c r="AB89"/>
      <c r="AC89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</row>
    <row r="90" spans="11:41" x14ac:dyDescent="0.2">
      <c r="K90" s="174"/>
      <c r="L90" s="174"/>
      <c r="M90" s="174"/>
      <c r="N90" s="174"/>
      <c r="O90" s="175"/>
      <c r="P90" s="174"/>
      <c r="Q90"/>
      <c r="R90"/>
      <c r="S90"/>
      <c r="T90"/>
      <c r="U90"/>
      <c r="V90"/>
      <c r="W90" s="57"/>
      <c r="X90"/>
      <c r="Y90"/>
      <c r="Z90"/>
      <c r="AA90"/>
      <c r="AB90"/>
      <c r="AC90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</row>
    <row r="91" spans="11:41" x14ac:dyDescent="0.2">
      <c r="K91" s="174"/>
      <c r="L91" s="174"/>
      <c r="M91" s="174"/>
      <c r="N91" s="174"/>
      <c r="O91" s="175"/>
      <c r="P91" s="174"/>
      <c r="Q91"/>
      <c r="R91"/>
      <c r="S91"/>
      <c r="T91"/>
      <c r="U91"/>
      <c r="V91"/>
      <c r="W91" s="57"/>
      <c r="X91"/>
      <c r="Y91"/>
      <c r="Z91"/>
      <c r="AA91"/>
      <c r="AB91"/>
      <c r="AC91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</row>
    <row r="92" spans="11:41" x14ac:dyDescent="0.2">
      <c r="K92" s="174"/>
      <c r="L92" s="174"/>
      <c r="M92" s="174"/>
      <c r="N92" s="174"/>
      <c r="O92" s="175"/>
      <c r="P92" s="174"/>
      <c r="Q92"/>
      <c r="R92"/>
      <c r="S92"/>
      <c r="T92"/>
      <c r="U92"/>
      <c r="V92"/>
      <c r="W92" s="57"/>
      <c r="X92"/>
      <c r="Y92"/>
      <c r="Z92"/>
      <c r="AA92"/>
      <c r="AB92"/>
      <c r="AC92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</row>
    <row r="93" spans="11:41" x14ac:dyDescent="0.2">
      <c r="K93" s="174"/>
      <c r="L93" s="174"/>
      <c r="M93" s="174"/>
      <c r="N93" s="174"/>
      <c r="O93" s="175"/>
      <c r="P93" s="174"/>
      <c r="Q93"/>
      <c r="R93"/>
      <c r="S93"/>
      <c r="T93"/>
      <c r="U93"/>
      <c r="V93"/>
      <c r="W93" s="57"/>
      <c r="X93"/>
      <c r="Y93"/>
      <c r="Z93"/>
      <c r="AA93"/>
      <c r="AB93"/>
      <c r="AC93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</row>
    <row r="94" spans="11:41" x14ac:dyDescent="0.2">
      <c r="K94" s="174"/>
      <c r="L94" s="174"/>
      <c r="M94" s="174"/>
      <c r="N94" s="174"/>
      <c r="O94" s="175"/>
      <c r="P94" s="174"/>
      <c r="Q94"/>
      <c r="R94"/>
      <c r="S94"/>
      <c r="T94"/>
      <c r="U94"/>
      <c r="V94"/>
      <c r="W94" s="57"/>
      <c r="X94"/>
      <c r="Y94"/>
      <c r="Z94"/>
      <c r="AA94"/>
      <c r="AB94"/>
      <c r="AC94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</row>
    <row r="95" spans="11:41" x14ac:dyDescent="0.2">
      <c r="K95" s="174"/>
      <c r="L95" s="174"/>
      <c r="M95" s="174"/>
      <c r="N95" s="174"/>
      <c r="O95" s="175"/>
      <c r="P95" s="174"/>
      <c r="Q95"/>
      <c r="R95"/>
      <c r="S95"/>
      <c r="T95"/>
      <c r="U95"/>
      <c r="V95"/>
      <c r="W95" s="57"/>
      <c r="X95"/>
      <c r="Y95"/>
      <c r="Z95"/>
      <c r="AA95"/>
      <c r="AB95"/>
      <c r="AC95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</row>
    <row r="96" spans="11:41" x14ac:dyDescent="0.2">
      <c r="K96" s="174"/>
      <c r="L96" s="174"/>
      <c r="M96" s="174"/>
      <c r="N96" s="174"/>
      <c r="O96" s="175"/>
      <c r="P96" s="174"/>
      <c r="Q96"/>
      <c r="R96"/>
      <c r="S96"/>
      <c r="T96"/>
      <c r="U96"/>
      <c r="V96"/>
      <c r="W96" s="57"/>
      <c r="X96"/>
      <c r="Y96"/>
      <c r="Z96"/>
      <c r="AA96"/>
      <c r="AB96"/>
      <c r="AC96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</row>
    <row r="97" spans="11:41" x14ac:dyDescent="0.2">
      <c r="K97" s="174"/>
      <c r="L97" s="174"/>
      <c r="M97" s="174"/>
      <c r="N97" s="174"/>
      <c r="O97" s="175"/>
      <c r="P97" s="174"/>
      <c r="Q97"/>
      <c r="R97"/>
      <c r="S97"/>
      <c r="T97"/>
      <c r="U97"/>
      <c r="V97"/>
      <c r="W97" s="57"/>
      <c r="X97"/>
      <c r="Y97"/>
      <c r="Z97"/>
      <c r="AA97"/>
      <c r="AB97"/>
      <c r="AC9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</row>
    <row r="98" spans="11:41" x14ac:dyDescent="0.2">
      <c r="K98" s="174"/>
      <c r="L98" s="174"/>
      <c r="M98" s="174"/>
      <c r="N98" s="174"/>
      <c r="O98" s="175"/>
      <c r="P98" s="174"/>
      <c r="Q98"/>
      <c r="R98"/>
      <c r="S98"/>
      <c r="T98"/>
      <c r="U98"/>
      <c r="V98"/>
      <c r="W98" s="57"/>
      <c r="X98"/>
      <c r="Y98"/>
      <c r="Z98"/>
      <c r="AA98"/>
      <c r="AB98"/>
      <c r="AC98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</row>
    <row r="99" spans="11:41" x14ac:dyDescent="0.2">
      <c r="K99" s="174"/>
      <c r="L99" s="174"/>
      <c r="M99" s="174"/>
      <c r="N99" s="174"/>
      <c r="O99" s="175"/>
      <c r="P99" s="174"/>
      <c r="Q99"/>
      <c r="R99"/>
      <c r="S99"/>
      <c r="T99"/>
      <c r="U99"/>
      <c r="V99"/>
      <c r="W99" s="57"/>
      <c r="X99"/>
      <c r="Y99"/>
      <c r="Z99"/>
      <c r="AA99"/>
      <c r="AB99"/>
      <c r="AC99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</row>
    <row r="100" spans="11:41" x14ac:dyDescent="0.2">
      <c r="K100" s="174"/>
      <c r="L100" s="174"/>
      <c r="M100" s="174"/>
      <c r="N100" s="174"/>
      <c r="O100" s="175"/>
      <c r="P100" s="174"/>
      <c r="Q100"/>
      <c r="R100"/>
      <c r="S100"/>
      <c r="T100"/>
      <c r="U100"/>
      <c r="V100"/>
      <c r="W100" s="57"/>
      <c r="X100"/>
      <c r="Y100"/>
      <c r="Z100"/>
      <c r="AA100"/>
      <c r="AB100"/>
      <c r="AC100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</row>
    <row r="101" spans="11:41" x14ac:dyDescent="0.2">
      <c r="K101" s="174"/>
      <c r="L101" s="174"/>
      <c r="M101" s="174"/>
      <c r="N101" s="174"/>
      <c r="O101" s="175"/>
      <c r="P101" s="174"/>
      <c r="Q101"/>
      <c r="R101"/>
      <c r="S101"/>
      <c r="T101"/>
      <c r="U101"/>
      <c r="V101"/>
      <c r="W101" s="57"/>
      <c r="X101"/>
      <c r="Y101"/>
      <c r="Z101"/>
      <c r="AA101"/>
      <c r="AB101"/>
      <c r="AC101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</row>
    <row r="102" spans="11:41" x14ac:dyDescent="0.2">
      <c r="K102" s="174"/>
      <c r="L102" s="174"/>
      <c r="M102" s="174"/>
      <c r="N102" s="174"/>
      <c r="O102" s="175"/>
      <c r="P102" s="174"/>
      <c r="Q102"/>
      <c r="R102"/>
      <c r="S102"/>
      <c r="T102"/>
      <c r="U102"/>
      <c r="V102"/>
      <c r="W102" s="57"/>
      <c r="X102"/>
      <c r="Y102"/>
      <c r="Z102"/>
      <c r="AA102"/>
      <c r="AB102"/>
      <c r="AC102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</row>
    <row r="103" spans="11:41" x14ac:dyDescent="0.2">
      <c r="K103" s="174"/>
      <c r="L103" s="174"/>
      <c r="M103" s="174"/>
      <c r="N103" s="174"/>
      <c r="O103" s="175"/>
      <c r="P103" s="174"/>
      <c r="Q103"/>
      <c r="R103"/>
      <c r="S103"/>
      <c r="T103"/>
      <c r="U103"/>
      <c r="V103"/>
      <c r="W103" s="57"/>
      <c r="X103"/>
      <c r="Y103"/>
      <c r="Z103"/>
      <c r="AA103"/>
      <c r="AB103"/>
      <c r="AC103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</row>
    <row r="104" spans="11:41" x14ac:dyDescent="0.2">
      <c r="K104" s="174"/>
      <c r="L104" s="174"/>
      <c r="M104" s="174"/>
      <c r="N104" s="174"/>
      <c r="O104" s="175"/>
      <c r="P104" s="174"/>
      <c r="Q104"/>
      <c r="R104"/>
      <c r="S104"/>
      <c r="T104"/>
      <c r="U104"/>
      <c r="V104"/>
      <c r="W104" s="57"/>
      <c r="X104"/>
      <c r="Y104"/>
      <c r="Z104"/>
      <c r="AA104"/>
      <c r="AB104"/>
      <c r="AC104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</row>
    <row r="105" spans="11:41" x14ac:dyDescent="0.2">
      <c r="K105" s="174"/>
      <c r="L105" s="174"/>
      <c r="M105" s="174"/>
      <c r="N105" s="174"/>
      <c r="O105" s="175"/>
      <c r="P105" s="174"/>
      <c r="Q105"/>
      <c r="R105"/>
      <c r="S105"/>
      <c r="T105"/>
      <c r="U105"/>
      <c r="V105"/>
      <c r="W105" s="57"/>
      <c r="X105"/>
      <c r="Y105"/>
      <c r="Z105"/>
      <c r="AA105"/>
      <c r="AB105"/>
      <c r="AC105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</row>
    <row r="106" spans="11:41" x14ac:dyDescent="0.2">
      <c r="K106" s="174"/>
      <c r="L106" s="174"/>
      <c r="M106" s="174"/>
      <c r="N106" s="174"/>
      <c r="O106" s="175"/>
      <c r="P106" s="174"/>
      <c r="Q106"/>
      <c r="R106"/>
      <c r="S106"/>
      <c r="T106"/>
      <c r="U106"/>
      <c r="V106"/>
      <c r="W106" s="57"/>
      <c r="X106"/>
      <c r="Y106"/>
      <c r="Z106"/>
      <c r="AA106"/>
      <c r="AB106"/>
      <c r="AC106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</row>
    <row r="107" spans="11:41" x14ac:dyDescent="0.2">
      <c r="K107" s="174"/>
      <c r="L107" s="174"/>
      <c r="M107" s="174"/>
      <c r="N107" s="174"/>
      <c r="O107" s="175"/>
      <c r="P107" s="174"/>
      <c r="Q107"/>
      <c r="R107"/>
      <c r="S107"/>
      <c r="T107"/>
      <c r="U107"/>
      <c r="V107"/>
      <c r="W107" s="57"/>
      <c r="X107"/>
      <c r="Y107"/>
      <c r="Z107"/>
      <c r="AA107"/>
      <c r="AB107"/>
      <c r="AC107"/>
      <c r="AD107" s="148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</row>
    <row r="108" spans="11:41" x14ac:dyDescent="0.2">
      <c r="K108" s="174"/>
      <c r="L108" s="174"/>
      <c r="M108" s="174"/>
      <c r="N108" s="174"/>
      <c r="O108" s="175"/>
      <c r="P108" s="174"/>
      <c r="Q108"/>
      <c r="R108"/>
      <c r="S108"/>
      <c r="T108"/>
      <c r="U108"/>
      <c r="V108"/>
      <c r="W108" s="57"/>
      <c r="X108"/>
      <c r="Y108"/>
      <c r="Z108"/>
      <c r="AA108"/>
      <c r="AB108"/>
      <c r="AC108"/>
      <c r="AD108" s="148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</row>
    <row r="109" spans="11:41" x14ac:dyDescent="0.2">
      <c r="K109" s="174"/>
      <c r="L109" s="174"/>
      <c r="M109" s="174"/>
      <c r="N109" s="174"/>
      <c r="O109" s="175"/>
      <c r="P109" s="174"/>
      <c r="Q109"/>
      <c r="R109"/>
      <c r="S109"/>
      <c r="T109"/>
      <c r="U109"/>
      <c r="V109"/>
      <c r="W109" s="57"/>
      <c r="X109"/>
      <c r="Y109"/>
      <c r="Z109"/>
      <c r="AA109"/>
      <c r="AB109"/>
      <c r="AC109"/>
      <c r="AD109" s="148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</row>
    <row r="110" spans="11:41" x14ac:dyDescent="0.2">
      <c r="K110" s="174"/>
      <c r="L110" s="174"/>
      <c r="M110" s="174"/>
      <c r="N110" s="174"/>
      <c r="O110" s="175"/>
      <c r="P110" s="174"/>
      <c r="Q110"/>
      <c r="R110"/>
      <c r="S110"/>
      <c r="T110"/>
      <c r="U110"/>
      <c r="V110"/>
      <c r="W110" s="57"/>
      <c r="X110"/>
      <c r="Y110"/>
      <c r="Z110"/>
      <c r="AA110"/>
      <c r="AB110"/>
      <c r="AC110"/>
      <c r="AD110" s="148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</row>
    <row r="111" spans="11:41" x14ac:dyDescent="0.2">
      <c r="K111" s="174"/>
      <c r="L111" s="174"/>
      <c r="M111" s="174"/>
      <c r="N111" s="174"/>
      <c r="O111" s="175"/>
      <c r="P111" s="174"/>
      <c r="Q111"/>
      <c r="R111"/>
      <c r="S111"/>
      <c r="T111"/>
      <c r="U111"/>
      <c r="V111"/>
      <c r="W111" s="57"/>
      <c r="X111"/>
      <c r="Y111"/>
      <c r="Z111"/>
      <c r="AA111"/>
      <c r="AB111"/>
      <c r="AC111"/>
      <c r="AD111" s="148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</row>
    <row r="112" spans="11:41" x14ac:dyDescent="0.2">
      <c r="K112" s="174"/>
      <c r="L112" s="174"/>
      <c r="M112" s="174"/>
      <c r="N112" s="174"/>
      <c r="O112" s="175"/>
      <c r="P112" s="174"/>
      <c r="Q112"/>
      <c r="R112"/>
      <c r="S112"/>
      <c r="T112"/>
      <c r="U112"/>
      <c r="V112"/>
      <c r="W112" s="57"/>
      <c r="X112"/>
      <c r="Y112"/>
      <c r="Z112"/>
      <c r="AA112"/>
      <c r="AB112"/>
      <c r="AC112"/>
      <c r="AD112" s="148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</row>
    <row r="113" spans="11:41" x14ac:dyDescent="0.2">
      <c r="K113" s="174"/>
      <c r="L113" s="174"/>
      <c r="M113" s="174"/>
      <c r="N113" s="174"/>
      <c r="O113" s="175"/>
      <c r="P113" s="174"/>
      <c r="Q113"/>
      <c r="R113"/>
      <c r="S113"/>
      <c r="T113"/>
      <c r="U113"/>
      <c r="V113"/>
      <c r="W113" s="57"/>
      <c r="X113"/>
      <c r="Y113"/>
      <c r="Z113"/>
      <c r="AA113"/>
      <c r="AB113"/>
      <c r="AC113"/>
      <c r="AD113" s="148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</row>
    <row r="114" spans="11:41" x14ac:dyDescent="0.2">
      <c r="K114" s="174"/>
      <c r="L114" s="174"/>
      <c r="M114" s="174"/>
      <c r="N114" s="174"/>
      <c r="O114" s="175"/>
      <c r="P114" s="174"/>
      <c r="Q114"/>
      <c r="R114"/>
      <c r="S114"/>
      <c r="T114"/>
      <c r="U114"/>
      <c r="V114"/>
      <c r="W114" s="57"/>
      <c r="X114"/>
      <c r="Y114"/>
      <c r="Z114"/>
      <c r="AA114"/>
      <c r="AB114"/>
      <c r="AC114"/>
      <c r="AD114" s="148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</row>
    <row r="115" spans="11:41" x14ac:dyDescent="0.2">
      <c r="K115" s="174"/>
      <c r="L115" s="174"/>
      <c r="M115" s="174"/>
      <c r="N115" s="174"/>
      <c r="O115" s="175"/>
      <c r="P115" s="174"/>
      <c r="Q115"/>
      <c r="R115"/>
      <c r="S115"/>
      <c r="T115"/>
      <c r="U115"/>
      <c r="V115"/>
      <c r="W115" s="57"/>
      <c r="X115"/>
      <c r="Y115"/>
      <c r="Z115"/>
      <c r="AA115"/>
      <c r="AB115"/>
      <c r="AC115"/>
      <c r="AD115" s="148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</row>
    <row r="116" spans="11:41" x14ac:dyDescent="0.2">
      <c r="K116" s="174"/>
      <c r="L116" s="174"/>
      <c r="M116" s="174"/>
      <c r="N116" s="174"/>
      <c r="O116" s="175"/>
      <c r="P116" s="174"/>
      <c r="Q116"/>
      <c r="R116"/>
      <c r="S116"/>
      <c r="T116"/>
      <c r="U116"/>
      <c r="V116"/>
      <c r="W116" s="57"/>
      <c r="X116"/>
      <c r="Y116"/>
      <c r="Z116"/>
      <c r="AA116"/>
      <c r="AB116"/>
      <c r="AC116"/>
      <c r="AD116" s="148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</row>
    <row r="117" spans="11:41" x14ac:dyDescent="0.2">
      <c r="K117" s="174"/>
      <c r="L117" s="174"/>
      <c r="M117" s="174"/>
      <c r="N117" s="174"/>
      <c r="O117" s="175"/>
      <c r="P117" s="174"/>
      <c r="Q117"/>
      <c r="R117"/>
      <c r="S117"/>
      <c r="T117"/>
      <c r="U117"/>
      <c r="V117"/>
      <c r="W117" s="57"/>
      <c r="X117"/>
      <c r="Y117"/>
      <c r="Z117"/>
      <c r="AA117"/>
      <c r="AB117"/>
      <c r="AC11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</row>
    <row r="118" spans="11:41" x14ac:dyDescent="0.2">
      <c r="K118" s="174"/>
      <c r="L118" s="174"/>
      <c r="M118" s="174"/>
      <c r="N118" s="174"/>
      <c r="O118" s="175"/>
      <c r="P118" s="174"/>
      <c r="Q118"/>
      <c r="R118"/>
      <c r="S118"/>
      <c r="T118"/>
      <c r="U118"/>
      <c r="V118"/>
      <c r="W118" s="57"/>
      <c r="X118"/>
      <c r="Y118"/>
      <c r="Z118"/>
      <c r="AA118"/>
      <c r="AB118"/>
      <c r="AC118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</row>
    <row r="119" spans="11:41" x14ac:dyDescent="0.2">
      <c r="K119" s="174"/>
      <c r="L119" s="174"/>
      <c r="M119" s="174"/>
      <c r="N119" s="174"/>
      <c r="O119" s="175"/>
      <c r="P119" s="174"/>
      <c r="Q119"/>
      <c r="R119"/>
      <c r="S119"/>
      <c r="T119"/>
      <c r="U119"/>
      <c r="V119"/>
      <c r="W119" s="57"/>
      <c r="X119"/>
      <c r="Y119"/>
      <c r="Z119"/>
      <c r="AA119"/>
      <c r="AB119"/>
      <c r="AC119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</row>
    <row r="120" spans="11:41" x14ac:dyDescent="0.2">
      <c r="K120" s="174"/>
      <c r="L120" s="174"/>
      <c r="M120" s="174"/>
      <c r="N120" s="174"/>
      <c r="O120" s="175"/>
      <c r="P120" s="174"/>
      <c r="Q120"/>
      <c r="R120"/>
      <c r="S120"/>
      <c r="T120"/>
      <c r="U120"/>
      <c r="V120"/>
      <c r="W120" s="57"/>
      <c r="X120"/>
      <c r="Y120"/>
      <c r="Z120"/>
      <c r="AA120"/>
      <c r="AB120"/>
      <c r="AC120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</row>
    <row r="121" spans="11:41" x14ac:dyDescent="0.2">
      <c r="K121" s="174"/>
      <c r="L121" s="174"/>
      <c r="M121" s="174"/>
      <c r="N121" s="174"/>
      <c r="O121" s="175"/>
      <c r="P121" s="174"/>
      <c r="Q121"/>
      <c r="R121"/>
      <c r="S121"/>
      <c r="T121"/>
      <c r="U121"/>
      <c r="V121"/>
      <c r="W121" s="57"/>
      <c r="X121"/>
      <c r="Y121"/>
      <c r="Z121"/>
      <c r="AA121"/>
      <c r="AB121"/>
      <c r="AC121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</row>
    <row r="122" spans="11:41" x14ac:dyDescent="0.2">
      <c r="K122" s="174"/>
      <c r="L122" s="174"/>
      <c r="M122" s="174"/>
      <c r="N122" s="174"/>
      <c r="O122" s="175"/>
      <c r="P122" s="174"/>
      <c r="Q122"/>
      <c r="R122"/>
      <c r="S122"/>
      <c r="T122"/>
      <c r="U122"/>
      <c r="V122"/>
      <c r="W122" s="57"/>
      <c r="X122"/>
      <c r="Y122"/>
      <c r="Z122"/>
      <c r="AA122"/>
      <c r="AB122"/>
      <c r="AC122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</row>
    <row r="123" spans="11:41" x14ac:dyDescent="0.2">
      <c r="K123" s="174"/>
      <c r="L123" s="174"/>
      <c r="M123" s="174"/>
      <c r="N123" s="174"/>
      <c r="O123" s="175"/>
      <c r="P123" s="174"/>
      <c r="Q123"/>
      <c r="R123"/>
      <c r="S123"/>
      <c r="T123"/>
      <c r="U123"/>
      <c r="V123"/>
      <c r="W123" s="57"/>
      <c r="X123"/>
      <c r="Y123"/>
      <c r="Z123"/>
      <c r="AA123"/>
      <c r="AB123"/>
      <c r="AC123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</row>
    <row r="124" spans="11:41" x14ac:dyDescent="0.2">
      <c r="K124" s="174"/>
      <c r="L124" s="174"/>
      <c r="M124" s="174"/>
      <c r="N124" s="174"/>
      <c r="O124" s="175"/>
      <c r="P124" s="174"/>
      <c r="Q124"/>
      <c r="R124"/>
      <c r="S124"/>
      <c r="T124"/>
      <c r="U124"/>
      <c r="V124"/>
      <c r="W124" s="57"/>
      <c r="X124"/>
      <c r="Y124"/>
      <c r="Z124"/>
      <c r="AA124"/>
      <c r="AB124"/>
      <c r="AC124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</row>
    <row r="125" spans="11:41" x14ac:dyDescent="0.2">
      <c r="K125" s="174"/>
      <c r="L125" s="174"/>
      <c r="M125" s="174"/>
      <c r="N125" s="174"/>
      <c r="O125" s="175"/>
      <c r="P125" s="174"/>
      <c r="Q125"/>
      <c r="R125"/>
      <c r="S125"/>
      <c r="T125"/>
      <c r="U125"/>
      <c r="V125"/>
      <c r="W125" s="57"/>
      <c r="X125"/>
      <c r="Y125"/>
      <c r="Z125"/>
      <c r="AA125"/>
      <c r="AB125"/>
      <c r="AC125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</row>
    <row r="126" spans="11:41" x14ac:dyDescent="0.2">
      <c r="K126" s="174"/>
      <c r="L126" s="174"/>
      <c r="M126" s="174"/>
      <c r="N126" s="174"/>
      <c r="O126" s="175"/>
      <c r="P126" s="174"/>
      <c r="Q126"/>
      <c r="R126"/>
      <c r="S126"/>
      <c r="T126"/>
      <c r="U126"/>
      <c r="V126"/>
      <c r="W126" s="57"/>
      <c r="X126"/>
      <c r="Y126"/>
      <c r="Z126"/>
      <c r="AA126"/>
      <c r="AB126"/>
      <c r="AC126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</row>
    <row r="127" spans="11:41" x14ac:dyDescent="0.2">
      <c r="K127" s="174"/>
      <c r="L127" s="174"/>
      <c r="M127" s="174"/>
      <c r="N127" s="174"/>
      <c r="O127" s="175"/>
      <c r="P127" s="174"/>
      <c r="Q127"/>
      <c r="R127"/>
      <c r="S127"/>
      <c r="T127"/>
      <c r="U127"/>
      <c r="V127"/>
      <c r="W127" s="57"/>
      <c r="X127"/>
      <c r="Y127"/>
      <c r="Z127"/>
      <c r="AA127"/>
      <c r="AB127"/>
      <c r="AC12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</row>
    <row r="128" spans="11:41" x14ac:dyDescent="0.2">
      <c r="K128" s="174"/>
      <c r="L128" s="174"/>
      <c r="M128" s="174"/>
      <c r="N128" s="174"/>
      <c r="O128" s="175"/>
      <c r="P128" s="174"/>
      <c r="Q128"/>
      <c r="R128"/>
      <c r="S128"/>
      <c r="T128"/>
      <c r="U128"/>
      <c r="V128"/>
      <c r="W128" s="57"/>
      <c r="X128"/>
      <c r="Y128"/>
      <c r="Z128"/>
      <c r="AA128"/>
      <c r="AB128"/>
      <c r="AC128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</row>
    <row r="129" spans="11:41" x14ac:dyDescent="0.2">
      <c r="K129" s="174"/>
      <c r="L129" s="174"/>
      <c r="M129" s="174"/>
      <c r="N129" s="174"/>
      <c r="O129" s="175"/>
      <c r="P129" s="174"/>
      <c r="Q129"/>
      <c r="R129"/>
      <c r="S129"/>
      <c r="T129"/>
      <c r="U129"/>
      <c r="V129"/>
      <c r="W129" s="57"/>
      <c r="X129"/>
      <c r="Y129"/>
      <c r="Z129"/>
      <c r="AA129"/>
      <c r="AB129"/>
      <c r="AC129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</row>
    <row r="130" spans="11:41" x14ac:dyDescent="0.2">
      <c r="K130" s="174"/>
      <c r="L130" s="174"/>
      <c r="M130" s="174"/>
      <c r="N130" s="174"/>
      <c r="O130" s="175"/>
      <c r="P130" s="174"/>
      <c r="Q130"/>
      <c r="R130"/>
      <c r="S130"/>
      <c r="T130"/>
      <c r="U130"/>
      <c r="V130"/>
      <c r="W130" s="57"/>
      <c r="X130"/>
      <c r="Y130"/>
      <c r="Z130"/>
      <c r="AA130"/>
      <c r="AB130"/>
      <c r="AC130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</row>
    <row r="131" spans="11:41" x14ac:dyDescent="0.2">
      <c r="K131" s="174"/>
      <c r="L131" s="174"/>
      <c r="M131" s="174"/>
      <c r="N131" s="174"/>
      <c r="O131" s="175"/>
      <c r="P131" s="174"/>
      <c r="Q131"/>
      <c r="R131"/>
      <c r="S131"/>
      <c r="T131"/>
      <c r="U131"/>
      <c r="V131"/>
      <c r="W131" s="57"/>
      <c r="X131"/>
      <c r="Y131"/>
      <c r="Z131"/>
      <c r="AA131"/>
      <c r="AB131"/>
      <c r="AC131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</row>
    <row r="132" spans="11:41" x14ac:dyDescent="0.2">
      <c r="K132" s="174"/>
      <c r="L132" s="174"/>
      <c r="M132" s="174"/>
      <c r="N132" s="174"/>
      <c r="O132" s="175"/>
      <c r="P132" s="174"/>
      <c r="Q132"/>
      <c r="R132"/>
      <c r="S132"/>
      <c r="T132"/>
      <c r="U132"/>
      <c r="V132"/>
      <c r="W132" s="57"/>
      <c r="X132"/>
      <c r="Y132"/>
      <c r="Z132"/>
      <c r="AA132"/>
      <c r="AB132"/>
      <c r="AC132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</row>
    <row r="133" spans="11:41" x14ac:dyDescent="0.2">
      <c r="K133" s="174"/>
      <c r="L133" s="174"/>
      <c r="M133" s="174"/>
      <c r="N133" s="174"/>
      <c r="O133" s="175"/>
      <c r="P133" s="174"/>
      <c r="Q133"/>
      <c r="R133"/>
      <c r="S133"/>
      <c r="T133"/>
      <c r="U133"/>
      <c r="V133"/>
      <c r="W133" s="57"/>
      <c r="X133"/>
      <c r="Y133"/>
      <c r="Z133"/>
      <c r="AA133"/>
      <c r="AB133"/>
      <c r="AC133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</row>
    <row r="134" spans="11:41" x14ac:dyDescent="0.2">
      <c r="K134" s="174"/>
      <c r="L134" s="174"/>
      <c r="M134" s="174"/>
      <c r="N134" s="174"/>
      <c r="O134" s="175"/>
      <c r="P134" s="174"/>
      <c r="Q134"/>
      <c r="R134"/>
      <c r="S134"/>
      <c r="T134"/>
      <c r="U134"/>
      <c r="V134"/>
      <c r="W134" s="57"/>
      <c r="X134"/>
      <c r="Y134"/>
      <c r="Z134"/>
      <c r="AA134"/>
      <c r="AB134"/>
      <c r="AC134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</row>
    <row r="135" spans="11:41" x14ac:dyDescent="0.2">
      <c r="K135" s="174"/>
      <c r="L135" s="174"/>
      <c r="M135" s="174"/>
      <c r="N135" s="174"/>
      <c r="O135" s="175"/>
      <c r="P135" s="174"/>
      <c r="Q135"/>
      <c r="R135"/>
      <c r="S135"/>
      <c r="T135"/>
      <c r="U135"/>
      <c r="V135"/>
      <c r="W135" s="57"/>
      <c r="X135"/>
      <c r="Y135"/>
      <c r="Z135"/>
      <c r="AA135"/>
      <c r="AB135"/>
      <c r="AC135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</row>
    <row r="136" spans="11:41" x14ac:dyDescent="0.2">
      <c r="K136" s="174"/>
      <c r="L136" s="174"/>
      <c r="M136" s="174"/>
      <c r="N136" s="174"/>
      <c r="O136" s="175"/>
      <c r="P136" s="174"/>
      <c r="Q136"/>
      <c r="R136"/>
      <c r="S136"/>
      <c r="T136"/>
      <c r="U136"/>
      <c r="V136"/>
      <c r="W136" s="57"/>
      <c r="X136"/>
      <c r="Y136"/>
      <c r="Z136"/>
      <c r="AA136"/>
      <c r="AB136"/>
      <c r="AC136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</row>
    <row r="137" spans="11:41" x14ac:dyDescent="0.2">
      <c r="K137" s="174"/>
      <c r="L137" s="174"/>
      <c r="M137" s="174"/>
      <c r="N137" s="174"/>
      <c r="O137" s="175"/>
      <c r="P137" s="174"/>
      <c r="Q137"/>
      <c r="R137"/>
      <c r="S137"/>
      <c r="T137"/>
      <c r="U137"/>
      <c r="V137"/>
      <c r="W137" s="57"/>
      <c r="X137"/>
      <c r="Y137"/>
      <c r="Z137"/>
      <c r="AA137"/>
      <c r="AB137"/>
      <c r="AC13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</row>
    <row r="138" spans="11:41" x14ac:dyDescent="0.2">
      <c r="K138" s="174"/>
      <c r="L138" s="174"/>
      <c r="M138" s="174"/>
      <c r="N138" s="174"/>
      <c r="O138" s="175"/>
      <c r="P138" s="174"/>
      <c r="Q138"/>
      <c r="R138"/>
      <c r="S138"/>
      <c r="T138"/>
      <c r="U138"/>
      <c r="V138"/>
      <c r="W138" s="57"/>
      <c r="X138"/>
      <c r="Y138"/>
      <c r="Z138"/>
      <c r="AA138"/>
      <c r="AB138"/>
      <c r="AC138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</row>
    <row r="139" spans="11:41" x14ac:dyDescent="0.2">
      <c r="K139" s="174"/>
      <c r="L139" s="174"/>
      <c r="M139" s="174"/>
      <c r="N139" s="174"/>
      <c r="O139" s="175"/>
      <c r="P139" s="174"/>
      <c r="Q139"/>
      <c r="R139"/>
      <c r="S139"/>
      <c r="T139"/>
      <c r="U139"/>
      <c r="V139"/>
      <c r="W139" s="57"/>
      <c r="X139"/>
      <c r="Y139"/>
      <c r="Z139"/>
      <c r="AA139"/>
      <c r="AB139"/>
      <c r="AC139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</row>
    <row r="140" spans="11:41" x14ac:dyDescent="0.2">
      <c r="K140" s="174"/>
      <c r="L140" s="174"/>
      <c r="M140" s="174"/>
      <c r="N140" s="174"/>
      <c r="O140" s="175"/>
      <c r="P140" s="174"/>
      <c r="Q140"/>
      <c r="R140"/>
      <c r="S140"/>
      <c r="T140"/>
      <c r="U140"/>
      <c r="V140"/>
      <c r="W140" s="57"/>
      <c r="X140"/>
      <c r="Y140"/>
      <c r="Z140"/>
      <c r="AA140"/>
      <c r="AB140"/>
      <c r="AC140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</row>
    <row r="141" spans="11:41" x14ac:dyDescent="0.2">
      <c r="K141" s="174"/>
      <c r="L141" s="174"/>
      <c r="M141" s="174"/>
      <c r="N141" s="174"/>
      <c r="O141" s="175"/>
      <c r="P141" s="174"/>
      <c r="Q141"/>
      <c r="R141"/>
      <c r="S141"/>
      <c r="T141"/>
      <c r="U141"/>
      <c r="V141"/>
      <c r="W141" s="57"/>
      <c r="X141"/>
      <c r="Y141"/>
      <c r="Z141"/>
      <c r="AA141"/>
      <c r="AB141"/>
      <c r="AC141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</row>
    <row r="142" spans="11:41" x14ac:dyDescent="0.2">
      <c r="K142" s="174"/>
      <c r="L142" s="174"/>
      <c r="M142" s="174"/>
      <c r="N142" s="174"/>
      <c r="O142" s="175"/>
      <c r="P142" s="174"/>
      <c r="Q142"/>
      <c r="R142"/>
      <c r="S142"/>
      <c r="T142"/>
      <c r="U142"/>
      <c r="V142"/>
      <c r="W142" s="57"/>
      <c r="X142"/>
      <c r="Y142"/>
      <c r="Z142"/>
      <c r="AA142"/>
      <c r="AB142"/>
      <c r="AC142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</row>
    <row r="143" spans="11:41" x14ac:dyDescent="0.2">
      <c r="K143" s="174"/>
      <c r="L143" s="174"/>
      <c r="M143" s="174"/>
      <c r="N143" s="174"/>
      <c r="O143" s="175"/>
      <c r="P143" s="174"/>
      <c r="Q143"/>
      <c r="R143"/>
      <c r="S143"/>
      <c r="T143"/>
      <c r="U143"/>
      <c r="V143"/>
      <c r="W143" s="57"/>
      <c r="X143"/>
      <c r="Y143"/>
      <c r="Z143"/>
      <c r="AA143"/>
      <c r="AB143"/>
      <c r="AC143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</row>
    <row r="144" spans="11:41" x14ac:dyDescent="0.2">
      <c r="K144" s="174"/>
      <c r="L144" s="174"/>
      <c r="M144" s="174"/>
      <c r="N144" s="174"/>
      <c r="O144" s="175"/>
      <c r="P144" s="174"/>
      <c r="Q144"/>
      <c r="R144"/>
      <c r="S144"/>
      <c r="T144"/>
      <c r="U144"/>
      <c r="V144"/>
      <c r="W144" s="57"/>
      <c r="X144"/>
      <c r="Y144"/>
      <c r="Z144"/>
      <c r="AA144"/>
      <c r="AB144"/>
      <c r="AC144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</row>
    <row r="145" spans="11:41" x14ac:dyDescent="0.2">
      <c r="K145" s="174"/>
      <c r="L145" s="174"/>
      <c r="M145" s="174"/>
      <c r="N145" s="174"/>
      <c r="O145" s="175"/>
      <c r="P145" s="174"/>
      <c r="Q145"/>
      <c r="R145"/>
      <c r="S145"/>
      <c r="T145"/>
      <c r="U145"/>
      <c r="V145"/>
      <c r="W145" s="57"/>
      <c r="X145"/>
      <c r="Y145"/>
      <c r="Z145"/>
      <c r="AA145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</row>
    <row r="146" spans="11:41" x14ac:dyDescent="0.2">
      <c r="K146" s="174"/>
      <c r="L146" s="174"/>
      <c r="M146" s="174"/>
      <c r="N146" s="174"/>
      <c r="O146" s="175"/>
      <c r="P146" s="174"/>
      <c r="Q146"/>
      <c r="R146"/>
      <c r="S146"/>
      <c r="T146"/>
      <c r="U146"/>
      <c r="V146"/>
      <c r="W146" s="57"/>
      <c r="X146"/>
      <c r="Y146"/>
      <c r="Z146"/>
      <c r="AA146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</row>
    <row r="147" spans="11:41" x14ac:dyDescent="0.2">
      <c r="K147" s="174"/>
      <c r="L147" s="174"/>
      <c r="M147" s="174"/>
      <c r="N147" s="174"/>
      <c r="O147" s="175"/>
      <c r="P147" s="174"/>
      <c r="Q147"/>
      <c r="R147"/>
      <c r="S147"/>
      <c r="T147"/>
      <c r="U147"/>
      <c r="V147"/>
      <c r="W147" s="57"/>
      <c r="X147"/>
      <c r="Y147"/>
      <c r="Z147"/>
      <c r="AA14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</row>
    <row r="148" spans="11:41" x14ac:dyDescent="0.2">
      <c r="K148" s="174"/>
      <c r="L148" s="174"/>
      <c r="M148" s="174"/>
      <c r="N148" s="174"/>
      <c r="O148" s="175"/>
      <c r="P148" s="174"/>
      <c r="Q148"/>
      <c r="R148"/>
      <c r="S148"/>
      <c r="T148"/>
      <c r="U148"/>
      <c r="V148"/>
      <c r="W148" s="57"/>
      <c r="X148"/>
      <c r="Y148"/>
      <c r="Z148"/>
      <c r="AA148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</row>
    <row r="149" spans="11:41" x14ac:dyDescent="0.2">
      <c r="K149" s="174"/>
      <c r="L149" s="174"/>
      <c r="M149" s="174"/>
      <c r="N149" s="174"/>
      <c r="O149" s="175"/>
      <c r="P149" s="174"/>
      <c r="Q149"/>
      <c r="R149"/>
      <c r="S149"/>
      <c r="T149"/>
      <c r="U149"/>
      <c r="V149"/>
      <c r="W149" s="57"/>
      <c r="X149"/>
      <c r="Y149"/>
      <c r="Z149"/>
      <c r="AA149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</row>
    <row r="150" spans="11:41" x14ac:dyDescent="0.2">
      <c r="K150" s="174"/>
      <c r="L150" s="174"/>
      <c r="M150" s="174"/>
      <c r="N150" s="174"/>
      <c r="O150" s="175"/>
      <c r="P150" s="174"/>
      <c r="Q150"/>
      <c r="R150"/>
      <c r="S150"/>
      <c r="T150"/>
      <c r="U150"/>
      <c r="V150"/>
      <c r="W150" s="57"/>
      <c r="X150"/>
      <c r="Y150"/>
      <c r="Z150"/>
      <c r="AA150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</row>
    <row r="151" spans="11:41" x14ac:dyDescent="0.2">
      <c r="K151" s="174"/>
      <c r="L151" s="174"/>
      <c r="M151" s="174"/>
      <c r="N151" s="174"/>
      <c r="O151" s="175"/>
      <c r="P151" s="174"/>
      <c r="Q151"/>
      <c r="R151"/>
      <c r="S151"/>
      <c r="T151"/>
      <c r="U151"/>
      <c r="V151"/>
      <c r="W151" s="57"/>
      <c r="X151"/>
      <c r="Y151"/>
      <c r="Z151"/>
      <c r="AA151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</row>
    <row r="152" spans="11:41" x14ac:dyDescent="0.2">
      <c r="K152" s="174"/>
      <c r="L152" s="174"/>
      <c r="M152" s="174"/>
      <c r="N152" s="174"/>
      <c r="O152" s="175"/>
      <c r="P152" s="174"/>
      <c r="Q152"/>
      <c r="R152"/>
      <c r="S152"/>
      <c r="T152"/>
      <c r="U152"/>
      <c r="V152"/>
      <c r="W152" s="57"/>
      <c r="X152"/>
      <c r="Y152"/>
      <c r="Z152"/>
      <c r="AA152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</row>
    <row r="153" spans="11:41" x14ac:dyDescent="0.2">
      <c r="K153" s="174"/>
      <c r="L153" s="174"/>
      <c r="M153" s="174"/>
      <c r="N153" s="174"/>
      <c r="O153" s="175"/>
      <c r="P153" s="174"/>
      <c r="Q153"/>
      <c r="R153"/>
      <c r="S153"/>
      <c r="T153"/>
      <c r="U153"/>
      <c r="V153"/>
      <c r="W153" s="57"/>
      <c r="X153"/>
      <c r="Y153"/>
      <c r="Z153"/>
      <c r="AA153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</row>
    <row r="154" spans="11:41" x14ac:dyDescent="0.2">
      <c r="K154" s="174"/>
      <c r="L154" s="174"/>
      <c r="M154" s="174"/>
      <c r="N154" s="174"/>
      <c r="O154" s="175"/>
      <c r="P154" s="174"/>
      <c r="Q154"/>
      <c r="R154"/>
      <c r="S154"/>
      <c r="T154"/>
      <c r="U154"/>
      <c r="V154"/>
      <c r="W154" s="57"/>
      <c r="X154"/>
      <c r="Y154"/>
      <c r="Z154"/>
      <c r="AA154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</row>
    <row r="155" spans="11:41" x14ac:dyDescent="0.2">
      <c r="K155" s="174"/>
      <c r="L155" s="174"/>
      <c r="M155" s="174"/>
      <c r="N155" s="174"/>
      <c r="O155" s="175"/>
      <c r="P155" s="174"/>
      <c r="Q155"/>
      <c r="R155"/>
      <c r="S155"/>
      <c r="T155"/>
      <c r="U155"/>
      <c r="V155"/>
      <c r="W155" s="57"/>
      <c r="X155"/>
      <c r="Y155"/>
      <c r="Z155"/>
      <c r="AA155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</row>
    <row r="156" spans="11:41" x14ac:dyDescent="0.2">
      <c r="K156" s="174"/>
      <c r="L156" s="174"/>
      <c r="M156" s="174"/>
      <c r="N156" s="174"/>
      <c r="O156" s="175"/>
      <c r="P156" s="174"/>
      <c r="Q156"/>
      <c r="R156"/>
      <c r="S156"/>
      <c r="T156"/>
      <c r="U156"/>
      <c r="V156"/>
      <c r="W156" s="57"/>
      <c r="X156"/>
      <c r="Y156"/>
      <c r="Z156"/>
      <c r="AA156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</row>
    <row r="157" spans="11:41" x14ac:dyDescent="0.2">
      <c r="K157" s="174"/>
      <c r="L157" s="174"/>
      <c r="M157" s="174"/>
      <c r="N157" s="174"/>
      <c r="O157" s="175"/>
      <c r="P157" s="174"/>
      <c r="Q157"/>
      <c r="R157"/>
      <c r="S157"/>
      <c r="T157"/>
      <c r="U157"/>
      <c r="V157"/>
      <c r="W157" s="57"/>
      <c r="X157"/>
      <c r="Y157"/>
      <c r="Z157"/>
      <c r="AA1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</row>
    <row r="158" spans="11:41" x14ac:dyDescent="0.2">
      <c r="K158" s="174"/>
      <c r="L158" s="174"/>
      <c r="M158" s="174"/>
      <c r="N158" s="174"/>
      <c r="O158" s="175"/>
      <c r="P158" s="174"/>
      <c r="Q158"/>
      <c r="R158"/>
      <c r="S158"/>
      <c r="T158"/>
      <c r="U158"/>
      <c r="V158"/>
      <c r="W158" s="57"/>
      <c r="X158"/>
      <c r="Y158"/>
      <c r="Z158"/>
      <c r="AA158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</row>
    <row r="159" spans="11:41" x14ac:dyDescent="0.2">
      <c r="K159" s="174"/>
      <c r="L159" s="174"/>
      <c r="M159" s="174"/>
      <c r="N159" s="174"/>
      <c r="O159" s="175"/>
      <c r="P159" s="174"/>
      <c r="Q159"/>
      <c r="R159"/>
      <c r="S159"/>
      <c r="T159"/>
      <c r="U159"/>
      <c r="V159"/>
      <c r="W159" s="57"/>
      <c r="X159"/>
      <c r="Y159"/>
      <c r="Z159"/>
      <c r="AA159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</row>
    <row r="160" spans="11:41" x14ac:dyDescent="0.2">
      <c r="K160" s="174"/>
      <c r="L160" s="174"/>
      <c r="M160" s="174"/>
      <c r="N160" s="174"/>
      <c r="O160" s="175"/>
      <c r="P160" s="174"/>
      <c r="Q160"/>
      <c r="R160"/>
      <c r="S160"/>
      <c r="T160"/>
      <c r="U160"/>
      <c r="V160"/>
      <c r="W160" s="57"/>
      <c r="X160"/>
      <c r="Y160"/>
      <c r="Z160"/>
      <c r="AA160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</row>
    <row r="161" spans="11:41" x14ac:dyDescent="0.2">
      <c r="K161" s="174"/>
      <c r="L161" s="174"/>
      <c r="M161" s="174"/>
      <c r="N161" s="174"/>
      <c r="O161" s="175"/>
      <c r="P161" s="174"/>
      <c r="Q161"/>
      <c r="R161"/>
      <c r="S161"/>
      <c r="T161"/>
      <c r="U161"/>
      <c r="V161"/>
      <c r="W161" s="57"/>
      <c r="X161"/>
      <c r="Y161"/>
      <c r="Z161"/>
      <c r="AA161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</row>
    <row r="162" spans="11:41" x14ac:dyDescent="0.2">
      <c r="K162" s="174"/>
      <c r="L162" s="174"/>
      <c r="M162" s="174"/>
      <c r="N162" s="174"/>
      <c r="O162" s="175"/>
      <c r="P162" s="174"/>
      <c r="Q162"/>
      <c r="R162"/>
      <c r="S162"/>
      <c r="T162"/>
      <c r="U162"/>
      <c r="V162"/>
      <c r="W162" s="57"/>
      <c r="X162"/>
      <c r="Y162"/>
      <c r="Z162"/>
      <c r="AA162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</row>
    <row r="163" spans="11:41" x14ac:dyDescent="0.2">
      <c r="K163" s="174"/>
      <c r="L163" s="174"/>
      <c r="M163" s="174"/>
      <c r="N163" s="174"/>
      <c r="O163" s="175"/>
      <c r="P163" s="174"/>
      <c r="Q163"/>
      <c r="R163"/>
      <c r="S163"/>
      <c r="T163"/>
      <c r="U163"/>
      <c r="V163"/>
      <c r="W163" s="57"/>
      <c r="X163"/>
      <c r="Y163"/>
      <c r="Z163"/>
      <c r="AA163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</row>
    <row r="164" spans="11:41" x14ac:dyDescent="0.2">
      <c r="K164" s="174"/>
      <c r="L164" s="174"/>
      <c r="M164" s="174"/>
      <c r="N164" s="174"/>
      <c r="O164" s="175"/>
      <c r="P164" s="174"/>
      <c r="Q164"/>
      <c r="R164"/>
      <c r="S164"/>
      <c r="T164"/>
      <c r="U164"/>
      <c r="V164"/>
      <c r="W164" s="57"/>
      <c r="X164"/>
      <c r="Y164"/>
      <c r="Z164"/>
      <c r="AA164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</row>
    <row r="165" spans="11:41" x14ac:dyDescent="0.2">
      <c r="K165" s="174"/>
      <c r="L165" s="174"/>
      <c r="M165" s="174"/>
      <c r="N165" s="174"/>
      <c r="O165" s="175"/>
      <c r="P165" s="174"/>
      <c r="Q165"/>
      <c r="R165"/>
      <c r="S165"/>
      <c r="T165"/>
      <c r="U165"/>
      <c r="V165"/>
      <c r="W165" s="57"/>
      <c r="X165"/>
      <c r="Y165"/>
      <c r="Z165"/>
      <c r="AA165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</row>
    <row r="166" spans="11:41" x14ac:dyDescent="0.2">
      <c r="K166" s="174"/>
      <c r="L166" s="174"/>
      <c r="M166" s="174"/>
      <c r="N166" s="174"/>
      <c r="O166" s="175"/>
      <c r="P166" s="174"/>
      <c r="Q166"/>
      <c r="R166"/>
      <c r="S166"/>
      <c r="T166"/>
      <c r="U166"/>
      <c r="V166"/>
      <c r="W166" s="57"/>
      <c r="X166"/>
      <c r="Y166"/>
      <c r="Z166"/>
      <c r="AA166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</row>
    <row r="167" spans="11:41" x14ac:dyDescent="0.2">
      <c r="K167" s="174"/>
      <c r="L167" s="174"/>
      <c r="M167" s="174"/>
      <c r="N167" s="174"/>
      <c r="O167" s="175"/>
      <c r="P167" s="174"/>
      <c r="Q167"/>
      <c r="R167"/>
      <c r="S167"/>
      <c r="T167"/>
      <c r="U167"/>
      <c r="V167"/>
      <c r="W167" s="57"/>
      <c r="X167"/>
      <c r="Y167"/>
      <c r="Z167"/>
      <c r="AA16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</row>
    <row r="168" spans="11:41" x14ac:dyDescent="0.2">
      <c r="K168" s="174"/>
      <c r="L168" s="174"/>
      <c r="M168" s="174"/>
      <c r="N168" s="174"/>
      <c r="O168" s="175"/>
      <c r="P168" s="174"/>
      <c r="Q168"/>
      <c r="R168"/>
      <c r="S168"/>
      <c r="T168"/>
      <c r="U168"/>
      <c r="V168"/>
      <c r="W168" s="57"/>
      <c r="X168"/>
      <c r="Y168"/>
      <c r="Z168"/>
      <c r="AA168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</row>
    <row r="169" spans="11:41" x14ac:dyDescent="0.2">
      <c r="K169" s="174"/>
      <c r="L169" s="174"/>
      <c r="M169" s="174"/>
      <c r="N169" s="174"/>
      <c r="O169" s="175"/>
      <c r="P169" s="174"/>
      <c r="Q169"/>
      <c r="R169"/>
      <c r="S169"/>
      <c r="T169"/>
      <c r="U169"/>
      <c r="V169"/>
      <c r="W169" s="57"/>
      <c r="X169"/>
      <c r="Y169"/>
      <c r="Z169"/>
      <c r="AA169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</row>
    <row r="170" spans="11:41" x14ac:dyDescent="0.2">
      <c r="K170" s="174"/>
      <c r="L170" s="174"/>
      <c r="M170" s="174"/>
      <c r="N170" s="174"/>
      <c r="O170" s="175"/>
      <c r="P170" s="174"/>
      <c r="Q170"/>
      <c r="R170"/>
      <c r="S170"/>
      <c r="T170"/>
      <c r="U170"/>
      <c r="V170"/>
      <c r="W170" s="57"/>
      <c r="X170"/>
      <c r="Y170"/>
      <c r="Z170"/>
      <c r="AA170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</row>
    <row r="171" spans="11:41" x14ac:dyDescent="0.2">
      <c r="K171" s="174"/>
      <c r="L171" s="174"/>
      <c r="M171" s="174"/>
      <c r="N171" s="174"/>
      <c r="O171" s="175"/>
      <c r="P171" s="174"/>
      <c r="Q171"/>
      <c r="R171"/>
      <c r="S171"/>
      <c r="T171"/>
      <c r="U171"/>
      <c r="V171"/>
      <c r="W171" s="57"/>
      <c r="X171"/>
      <c r="Y171"/>
      <c r="Z171"/>
      <c r="AA171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</row>
    <row r="172" spans="11:41" x14ac:dyDescent="0.2">
      <c r="K172" s="174"/>
      <c r="L172" s="174"/>
      <c r="M172" s="174"/>
      <c r="N172" s="174"/>
      <c r="O172" s="175"/>
      <c r="P172" s="174"/>
      <c r="Q172"/>
      <c r="R172"/>
      <c r="S172"/>
      <c r="T172"/>
      <c r="U172"/>
      <c r="V172"/>
      <c r="W172" s="57"/>
      <c r="X172"/>
      <c r="Y172"/>
      <c r="Z172"/>
      <c r="AA172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</row>
    <row r="173" spans="11:41" x14ac:dyDescent="0.2">
      <c r="K173" s="174"/>
      <c r="L173" s="174"/>
      <c r="M173" s="174"/>
      <c r="N173" s="174"/>
      <c r="O173" s="175"/>
      <c r="P173" s="174"/>
      <c r="Q173"/>
      <c r="R173"/>
      <c r="S173"/>
      <c r="T173"/>
      <c r="U173"/>
      <c r="V173"/>
      <c r="W173" s="57"/>
      <c r="X173"/>
      <c r="Y173"/>
      <c r="Z173"/>
      <c r="AA173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</row>
    <row r="174" spans="11:41" x14ac:dyDescent="0.2">
      <c r="K174" s="174"/>
      <c r="L174" s="174"/>
      <c r="M174" s="174"/>
      <c r="N174" s="174"/>
      <c r="O174" s="175"/>
      <c r="P174" s="174"/>
      <c r="Q174"/>
      <c r="R174"/>
      <c r="S174"/>
      <c r="T174"/>
      <c r="U174"/>
      <c r="V174"/>
      <c r="W174" s="57"/>
      <c r="X174"/>
      <c r="Y174"/>
      <c r="Z174"/>
      <c r="AA174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</row>
    <row r="175" spans="11:41" x14ac:dyDescent="0.2">
      <c r="K175" s="174"/>
      <c r="L175" s="174"/>
      <c r="M175" s="174"/>
      <c r="N175" s="174"/>
      <c r="O175" s="175"/>
      <c r="P175" s="174"/>
      <c r="Q175"/>
      <c r="R175"/>
      <c r="S175"/>
      <c r="T175"/>
      <c r="U175"/>
      <c r="V175"/>
      <c r="W175" s="57"/>
      <c r="X175"/>
      <c r="Y175"/>
      <c r="Z175"/>
      <c r="AA175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</row>
    <row r="176" spans="11:41" x14ac:dyDescent="0.2">
      <c r="K176" s="174"/>
      <c r="L176" s="174"/>
      <c r="M176" s="174"/>
      <c r="N176" s="174"/>
      <c r="O176" s="175"/>
      <c r="P176" s="174"/>
      <c r="Q176"/>
      <c r="R176"/>
      <c r="S176"/>
      <c r="T176"/>
      <c r="U176"/>
      <c r="V176"/>
      <c r="W176" s="57"/>
      <c r="X176"/>
      <c r="Y176"/>
      <c r="Z176"/>
      <c r="AA176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</row>
    <row r="177" spans="11:41" x14ac:dyDescent="0.2">
      <c r="K177" s="174"/>
      <c r="L177" s="174"/>
      <c r="M177" s="174"/>
      <c r="N177" s="174"/>
      <c r="O177" s="175"/>
      <c r="P177" s="174"/>
      <c r="Q177"/>
      <c r="R177"/>
      <c r="S177"/>
      <c r="T177"/>
      <c r="U177"/>
      <c r="V177"/>
      <c r="W177" s="57"/>
      <c r="X177"/>
      <c r="Y177"/>
      <c r="Z177"/>
      <c r="AA17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</row>
    <row r="178" spans="11:41" x14ac:dyDescent="0.2">
      <c r="K178" s="174"/>
      <c r="L178" s="174"/>
      <c r="M178" s="174"/>
      <c r="N178" s="174"/>
      <c r="O178" s="175"/>
      <c r="P178" s="174"/>
      <c r="Q178"/>
      <c r="R178"/>
      <c r="S178"/>
      <c r="T178"/>
      <c r="U178"/>
      <c r="V178"/>
      <c r="W178" s="57"/>
      <c r="X178"/>
      <c r="Y178"/>
      <c r="Z178"/>
      <c r="AA178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</row>
    <row r="179" spans="11:41" x14ac:dyDescent="0.2">
      <c r="K179" s="174"/>
      <c r="L179" s="174"/>
      <c r="M179" s="174"/>
      <c r="N179" s="174"/>
      <c r="O179" s="175"/>
      <c r="P179" s="174"/>
      <c r="Q179"/>
      <c r="R179"/>
      <c r="S179"/>
      <c r="T179"/>
      <c r="U179"/>
      <c r="V179"/>
      <c r="W179" s="57"/>
      <c r="X179"/>
      <c r="Y179"/>
      <c r="Z179"/>
      <c r="AA179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</row>
    <row r="180" spans="11:41" x14ac:dyDescent="0.2">
      <c r="K180" s="174"/>
      <c r="L180" s="174"/>
      <c r="M180" s="174"/>
      <c r="N180" s="174"/>
      <c r="O180" s="175"/>
      <c r="P180" s="174"/>
      <c r="Q180"/>
      <c r="R180"/>
      <c r="S180"/>
      <c r="T180"/>
      <c r="U180"/>
      <c r="V180"/>
      <c r="W180" s="57"/>
      <c r="X180"/>
      <c r="Y180"/>
      <c r="Z180"/>
      <c r="AA180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</row>
    <row r="181" spans="11:41" x14ac:dyDescent="0.2">
      <c r="K181" s="174"/>
      <c r="L181" s="174"/>
      <c r="M181" s="174"/>
      <c r="N181" s="174"/>
      <c r="O181" s="175"/>
      <c r="P181" s="174"/>
      <c r="Q181"/>
      <c r="R181"/>
      <c r="S181"/>
      <c r="T181"/>
      <c r="U181"/>
      <c r="V181"/>
      <c r="W181" s="57"/>
      <c r="X181"/>
      <c r="Y181"/>
      <c r="Z181"/>
      <c r="AA181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</row>
    <row r="182" spans="11:41" x14ac:dyDescent="0.2">
      <c r="K182" s="174"/>
      <c r="L182" s="174"/>
      <c r="M182" s="174"/>
      <c r="N182" s="174"/>
      <c r="O182" s="175"/>
      <c r="P182" s="174"/>
      <c r="Q182"/>
      <c r="R182"/>
      <c r="S182"/>
      <c r="T182"/>
      <c r="U182"/>
      <c r="V182"/>
      <c r="W182" s="57"/>
      <c r="X182"/>
      <c r="Y182"/>
      <c r="Z182"/>
      <c r="AA182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</row>
    <row r="183" spans="11:41" x14ac:dyDescent="0.2">
      <c r="K183" s="174"/>
      <c r="L183" s="174"/>
      <c r="M183" s="174"/>
      <c r="N183" s="174"/>
      <c r="O183" s="175"/>
      <c r="P183" s="174"/>
      <c r="Q183"/>
      <c r="R183"/>
      <c r="S183"/>
      <c r="T183"/>
      <c r="U183"/>
      <c r="V183"/>
      <c r="W183" s="57"/>
      <c r="X183"/>
      <c r="Y183"/>
      <c r="Z183"/>
      <c r="AA183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</row>
    <row r="184" spans="11:41" x14ac:dyDescent="0.2">
      <c r="K184" s="174"/>
      <c r="L184" s="174"/>
      <c r="M184" s="174"/>
      <c r="N184" s="174"/>
      <c r="O184" s="175"/>
      <c r="P184" s="174"/>
      <c r="Q184"/>
      <c r="R184"/>
      <c r="S184"/>
      <c r="T184"/>
      <c r="U184"/>
      <c r="V184"/>
      <c r="W184" s="57"/>
      <c r="X184"/>
      <c r="Y184"/>
      <c r="Z184"/>
      <c r="AA184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</row>
    <row r="185" spans="11:41" x14ac:dyDescent="0.2">
      <c r="K185" s="174"/>
      <c r="L185" s="174"/>
      <c r="M185" s="174"/>
      <c r="N185" s="174"/>
      <c r="O185" s="175"/>
      <c r="P185" s="174"/>
      <c r="Q185"/>
      <c r="R185"/>
      <c r="S185"/>
      <c r="T185"/>
      <c r="U185"/>
      <c r="V185"/>
      <c r="W185" s="57"/>
      <c r="X185"/>
      <c r="Y185"/>
      <c r="Z185"/>
      <c r="AA185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</row>
    <row r="186" spans="11:41" x14ac:dyDescent="0.2">
      <c r="K186" s="174"/>
      <c r="L186" s="174"/>
      <c r="M186" s="174"/>
      <c r="N186" s="174"/>
      <c r="O186" s="175"/>
      <c r="P186" s="174"/>
      <c r="Q186"/>
      <c r="R186"/>
      <c r="S186"/>
      <c r="T186"/>
      <c r="U186"/>
      <c r="V186"/>
      <c r="W186" s="57"/>
      <c r="X186"/>
      <c r="Y186"/>
      <c r="Z186"/>
      <c r="AA186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</row>
    <row r="187" spans="11:41" x14ac:dyDescent="0.2">
      <c r="K187" s="174"/>
      <c r="L187" s="174"/>
      <c r="M187" s="174"/>
      <c r="N187" s="174"/>
      <c r="O187" s="175"/>
      <c r="P187" s="174"/>
      <c r="Q187"/>
      <c r="R187"/>
      <c r="S187"/>
      <c r="T187"/>
      <c r="U187"/>
      <c r="V187"/>
      <c r="W187" s="57"/>
      <c r="X187"/>
      <c r="Y187"/>
      <c r="Z187"/>
      <c r="AA18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</row>
    <row r="188" spans="11:41" x14ac:dyDescent="0.2">
      <c r="K188" s="174"/>
      <c r="L188" s="174"/>
      <c r="M188" s="174"/>
      <c r="N188" s="174"/>
      <c r="O188" s="175"/>
      <c r="P188" s="174"/>
      <c r="Q188"/>
      <c r="R188"/>
      <c r="S188"/>
      <c r="T188"/>
      <c r="U188"/>
      <c r="V188"/>
      <c r="W188" s="57"/>
      <c r="X188"/>
      <c r="Y188"/>
      <c r="Z188"/>
      <c r="AA188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</row>
    <row r="189" spans="11:41" x14ac:dyDescent="0.2">
      <c r="K189" s="174"/>
      <c r="L189" s="174"/>
      <c r="M189" s="174"/>
      <c r="N189" s="174"/>
      <c r="O189" s="175"/>
      <c r="P189" s="174"/>
      <c r="Q189"/>
      <c r="R189"/>
      <c r="S189"/>
      <c r="T189"/>
      <c r="U189"/>
      <c r="V189"/>
      <c r="W189" s="57"/>
      <c r="X189"/>
      <c r="Y189"/>
      <c r="Z189"/>
      <c r="AA189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</row>
    <row r="190" spans="11:41" x14ac:dyDescent="0.2">
      <c r="K190" s="174"/>
      <c r="L190" s="174"/>
      <c r="M190" s="174"/>
      <c r="N190" s="174"/>
      <c r="O190" s="175"/>
      <c r="P190" s="174"/>
      <c r="Q190"/>
      <c r="R190"/>
      <c r="S190"/>
      <c r="T190"/>
      <c r="U190"/>
      <c r="V190"/>
      <c r="W190" s="57"/>
      <c r="X190"/>
      <c r="Y190"/>
      <c r="Z190"/>
      <c r="AA190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</row>
    <row r="191" spans="11:41" x14ac:dyDescent="0.2">
      <c r="K191" s="174"/>
      <c r="L191" s="174"/>
      <c r="M191" s="174"/>
      <c r="N191" s="174"/>
      <c r="O191" s="175"/>
      <c r="P191" s="174"/>
      <c r="Q191"/>
      <c r="R191"/>
      <c r="S191"/>
      <c r="T191"/>
      <c r="U191"/>
      <c r="V191"/>
      <c r="W191" s="57"/>
      <c r="X191"/>
      <c r="Y191"/>
      <c r="Z191"/>
      <c r="AA191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</row>
    <row r="192" spans="11:41" x14ac:dyDescent="0.2">
      <c r="K192" s="174"/>
      <c r="L192" s="174"/>
      <c r="M192" s="174"/>
      <c r="N192" s="174"/>
      <c r="O192" s="175"/>
      <c r="P192" s="174"/>
      <c r="Q192"/>
      <c r="R192"/>
      <c r="S192"/>
      <c r="T192"/>
      <c r="U192"/>
      <c r="V192"/>
      <c r="W192" s="57"/>
      <c r="X192"/>
      <c r="Y192"/>
      <c r="Z192"/>
      <c r="AA192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</row>
    <row r="193" spans="11:41" x14ac:dyDescent="0.2">
      <c r="K193" s="174"/>
      <c r="L193" s="174"/>
      <c r="M193" s="174"/>
      <c r="N193" s="174"/>
      <c r="O193" s="175"/>
      <c r="P193" s="174"/>
      <c r="Q193"/>
      <c r="R193"/>
      <c r="S193"/>
      <c r="T193"/>
      <c r="U193"/>
      <c r="V193"/>
      <c r="W193" s="57"/>
      <c r="X193"/>
      <c r="Y193"/>
      <c r="Z193"/>
      <c r="AA193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</row>
    <row r="194" spans="11:41" x14ac:dyDescent="0.2">
      <c r="K194" s="174"/>
      <c r="L194" s="174"/>
      <c r="M194" s="174"/>
      <c r="N194" s="174"/>
      <c r="O194" s="175"/>
      <c r="P194" s="174"/>
      <c r="Q194"/>
      <c r="R194"/>
      <c r="S194"/>
      <c r="T194"/>
      <c r="U194"/>
      <c r="V194"/>
      <c r="W194" s="57"/>
      <c r="X194"/>
      <c r="Y194"/>
      <c r="Z194"/>
      <c r="AA194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</row>
    <row r="195" spans="11:41" x14ac:dyDescent="0.2">
      <c r="K195" s="174"/>
      <c r="L195" s="174"/>
      <c r="M195" s="174"/>
      <c r="N195" s="174"/>
      <c r="O195" s="175"/>
      <c r="P195" s="174"/>
      <c r="Q195"/>
      <c r="R195"/>
      <c r="S195"/>
      <c r="T195"/>
      <c r="U195"/>
      <c r="V195"/>
      <c r="W195" s="57"/>
      <c r="X195"/>
      <c r="Y195"/>
      <c r="Z195"/>
      <c r="AA195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</row>
    <row r="196" spans="11:41" x14ac:dyDescent="0.2">
      <c r="K196" s="174"/>
      <c r="L196" s="174"/>
      <c r="M196" s="174"/>
      <c r="N196" s="174"/>
      <c r="O196" s="175"/>
      <c r="P196" s="174"/>
      <c r="Q196"/>
      <c r="R196"/>
      <c r="S196"/>
      <c r="T196"/>
      <c r="U196"/>
      <c r="V196"/>
      <c r="W196" s="57"/>
      <c r="X196"/>
      <c r="Y196"/>
      <c r="Z196"/>
      <c r="AA196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</row>
    <row r="197" spans="11:41" x14ac:dyDescent="0.2">
      <c r="K197" s="174"/>
      <c r="L197" s="174"/>
      <c r="M197" s="174"/>
      <c r="N197" s="174"/>
      <c r="O197" s="175"/>
      <c r="P197" s="174"/>
      <c r="Q197"/>
      <c r="R197"/>
      <c r="S197"/>
      <c r="T197"/>
      <c r="U197"/>
      <c r="V197"/>
      <c r="W197" s="57"/>
      <c r="X197"/>
      <c r="Y197"/>
      <c r="Z197"/>
      <c r="AA19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</row>
    <row r="198" spans="11:41" x14ac:dyDescent="0.2">
      <c r="K198" s="174"/>
      <c r="L198" s="174"/>
      <c r="M198" s="174"/>
      <c r="N198" s="174"/>
      <c r="O198" s="175"/>
      <c r="P198" s="174"/>
      <c r="Q198"/>
      <c r="R198"/>
      <c r="S198"/>
      <c r="T198"/>
      <c r="U198"/>
      <c r="V198"/>
      <c r="W198" s="57"/>
      <c r="X198"/>
      <c r="Y198"/>
      <c r="Z198"/>
      <c r="AA198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</row>
    <row r="199" spans="11:41" x14ac:dyDescent="0.2">
      <c r="K199" s="174"/>
      <c r="L199" s="174"/>
      <c r="M199" s="174"/>
      <c r="N199" s="174"/>
      <c r="O199" s="175"/>
      <c r="P199" s="174"/>
      <c r="Q199"/>
      <c r="R199"/>
      <c r="S199"/>
      <c r="T199"/>
      <c r="U199"/>
      <c r="V199"/>
      <c r="W199" s="57"/>
      <c r="X199"/>
      <c r="Y199"/>
      <c r="Z199"/>
      <c r="AA199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</row>
    <row r="200" spans="11:41" x14ac:dyDescent="0.2">
      <c r="K200" s="174"/>
      <c r="L200" s="174"/>
      <c r="M200" s="174"/>
      <c r="N200" s="174"/>
      <c r="O200" s="175"/>
      <c r="P200" s="174"/>
      <c r="Q200"/>
      <c r="R200"/>
      <c r="S200"/>
      <c r="T200"/>
      <c r="U200"/>
      <c r="V200"/>
      <c r="W200" s="57"/>
      <c r="X200"/>
      <c r="Y200"/>
      <c r="Z200"/>
      <c r="AA200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</row>
    <row r="201" spans="11:41" x14ac:dyDescent="0.2">
      <c r="K201" s="174"/>
      <c r="L201" s="174"/>
      <c r="M201" s="174"/>
      <c r="N201" s="174"/>
      <c r="O201" s="175"/>
      <c r="P201" s="174"/>
      <c r="Q201"/>
      <c r="R201"/>
      <c r="S201"/>
      <c r="T201"/>
      <c r="U201"/>
      <c r="V201"/>
      <c r="W201" s="57"/>
      <c r="X201"/>
      <c r="Y201"/>
      <c r="Z201"/>
      <c r="AA201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</row>
    <row r="202" spans="11:41" x14ac:dyDescent="0.2">
      <c r="K202" s="174"/>
      <c r="L202" s="174"/>
      <c r="M202" s="174"/>
      <c r="N202" s="174"/>
      <c r="O202" s="175"/>
      <c r="P202" s="174"/>
      <c r="Q202"/>
      <c r="R202"/>
      <c r="S202"/>
      <c r="T202"/>
      <c r="U202"/>
      <c r="V202"/>
      <c r="W202" s="57"/>
      <c r="X202"/>
      <c r="Y202"/>
      <c r="Z202"/>
      <c r="AA202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</row>
    <row r="203" spans="11:41" x14ac:dyDescent="0.2">
      <c r="K203" s="174"/>
      <c r="L203" s="174"/>
      <c r="M203" s="174"/>
      <c r="N203" s="174"/>
      <c r="O203" s="175"/>
      <c r="P203" s="174"/>
      <c r="Q203"/>
      <c r="R203"/>
      <c r="S203"/>
      <c r="T203"/>
      <c r="U203"/>
      <c r="V203"/>
      <c r="W203" s="57"/>
      <c r="X203"/>
      <c r="Y203"/>
      <c r="Z203"/>
      <c r="AA203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</row>
    <row r="204" spans="11:41" x14ac:dyDescent="0.2">
      <c r="K204" s="174"/>
      <c r="L204" s="174"/>
      <c r="M204" s="174"/>
      <c r="N204" s="174"/>
      <c r="O204" s="175"/>
      <c r="P204" s="174"/>
      <c r="Q204" s="57"/>
      <c r="R204" s="57"/>
      <c r="S204" s="57"/>
      <c r="T204" s="57"/>
      <c r="U204" s="57"/>
      <c r="V204" s="57"/>
      <c r="W204" s="57"/>
      <c r="X204" s="148"/>
      <c r="Y204" s="148"/>
      <c r="Z204" s="148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</row>
    <row r="205" spans="11:41" x14ac:dyDescent="0.2">
      <c r="K205" s="174"/>
      <c r="L205" s="174"/>
      <c r="M205" s="174"/>
      <c r="N205" s="174"/>
      <c r="O205" s="175"/>
      <c r="P205" s="174"/>
      <c r="Q205" s="57"/>
      <c r="R205" s="57"/>
      <c r="S205" s="57"/>
      <c r="T205" s="57"/>
      <c r="U205" s="57"/>
      <c r="V205" s="57"/>
      <c r="W205" s="57"/>
      <c r="X205" s="148"/>
      <c r="Y205" s="148"/>
      <c r="Z205" s="148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</row>
    <row r="206" spans="11:41" x14ac:dyDescent="0.2">
      <c r="K206" s="174"/>
      <c r="L206" s="174"/>
      <c r="M206" s="174"/>
      <c r="N206" s="174"/>
      <c r="O206" s="175"/>
      <c r="P206" s="174"/>
      <c r="Q206" s="57"/>
      <c r="R206" s="57"/>
      <c r="S206" s="57"/>
      <c r="T206" s="57"/>
      <c r="U206" s="57"/>
      <c r="V206" s="57"/>
      <c r="W206" s="57"/>
      <c r="X206" s="148"/>
      <c r="Y206" s="148"/>
      <c r="Z206" s="148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</row>
    <row r="207" spans="11:41" x14ac:dyDescent="0.2">
      <c r="K207" s="174"/>
      <c r="L207" s="174"/>
      <c r="M207" s="174"/>
      <c r="N207" s="174"/>
      <c r="O207" s="175"/>
      <c r="P207" s="174"/>
      <c r="Q207" s="57"/>
      <c r="R207" s="57"/>
      <c r="S207" s="57"/>
      <c r="T207" s="57"/>
      <c r="U207" s="57"/>
      <c r="V207" s="57"/>
      <c r="W207" s="57"/>
      <c r="X207" s="148"/>
      <c r="Y207" s="148"/>
      <c r="Z207" s="148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</row>
    <row r="208" spans="11:41" x14ac:dyDescent="0.2">
      <c r="K208" s="174"/>
      <c r="L208" s="174"/>
      <c r="M208" s="174"/>
      <c r="N208" s="174"/>
      <c r="O208" s="175"/>
      <c r="P208" s="174"/>
      <c r="Q208" s="57"/>
      <c r="R208" s="57"/>
      <c r="S208" s="57"/>
      <c r="T208" s="57"/>
      <c r="U208" s="57"/>
      <c r="V208" s="57"/>
      <c r="W208" s="57"/>
      <c r="X208" s="148"/>
      <c r="Y208" s="148"/>
      <c r="Z208" s="148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</row>
    <row r="209" spans="7:41" x14ac:dyDescent="0.2">
      <c r="K209" s="174"/>
      <c r="L209" s="174"/>
      <c r="M209" s="174"/>
      <c r="N209" s="174"/>
      <c r="O209" s="175"/>
      <c r="P209" s="174"/>
      <c r="Q209" s="57"/>
      <c r="R209" s="57"/>
      <c r="S209" s="57"/>
      <c r="T209" s="57"/>
      <c r="U209" s="57"/>
      <c r="V209" s="57"/>
      <c r="W209" s="57"/>
      <c r="X209" s="148"/>
      <c r="Y209" s="148"/>
      <c r="Z209" s="148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</row>
    <row r="210" spans="7:41" x14ac:dyDescent="0.2">
      <c r="K210" s="174"/>
      <c r="L210" s="174"/>
      <c r="M210" s="174"/>
      <c r="N210" s="174"/>
      <c r="O210" s="175"/>
      <c r="P210" s="174"/>
      <c r="Q210" s="57"/>
      <c r="R210" s="57"/>
      <c r="S210" s="57"/>
      <c r="T210" s="57"/>
      <c r="U210" s="57"/>
      <c r="V210" s="57"/>
      <c r="W210" s="57"/>
      <c r="X210" s="148"/>
      <c r="Y210" s="148"/>
      <c r="Z210" s="148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</row>
    <row r="211" spans="7:41" x14ac:dyDescent="0.2">
      <c r="K211" s="174"/>
      <c r="L211" s="174"/>
      <c r="M211" s="174"/>
      <c r="N211" s="174"/>
      <c r="O211" s="175"/>
      <c r="P211" s="174"/>
      <c r="Q211" s="57"/>
      <c r="R211" s="57"/>
      <c r="S211" s="57"/>
      <c r="T211" s="57"/>
      <c r="U211" s="57"/>
      <c r="V211" s="57"/>
      <c r="W211" s="57"/>
      <c r="X211" s="148"/>
      <c r="Y211" s="148"/>
      <c r="Z211" s="148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</row>
    <row r="212" spans="7:41" x14ac:dyDescent="0.2">
      <c r="K212" s="174"/>
      <c r="L212" s="174"/>
      <c r="M212" s="174"/>
      <c r="N212" s="174"/>
      <c r="O212" s="175"/>
      <c r="P212" s="174"/>
      <c r="Q212" s="57"/>
      <c r="R212" s="57"/>
      <c r="S212" s="57"/>
      <c r="T212" s="57"/>
      <c r="U212" s="57"/>
      <c r="V212" s="57"/>
      <c r="W212" s="57"/>
      <c r="X212" s="148"/>
      <c r="Y212" s="148"/>
      <c r="Z212" s="148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</row>
    <row r="213" spans="7:41" x14ac:dyDescent="0.2">
      <c r="K213" s="174"/>
      <c r="L213" s="174"/>
      <c r="M213" s="174"/>
      <c r="N213" s="174"/>
      <c r="O213" s="175"/>
      <c r="P213" s="174"/>
      <c r="Q213" s="57"/>
      <c r="R213" s="57"/>
      <c r="S213" s="57"/>
      <c r="T213" s="57"/>
      <c r="U213" s="57"/>
      <c r="V213" s="57"/>
      <c r="W213" s="57"/>
      <c r="X213" s="148"/>
      <c r="Y213" s="148"/>
      <c r="Z213" s="148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</row>
    <row r="214" spans="7:41" x14ac:dyDescent="0.2">
      <c r="K214" s="174"/>
      <c r="L214" s="174"/>
      <c r="M214" s="174"/>
      <c r="N214" s="174"/>
      <c r="O214" s="175"/>
      <c r="P214" s="174"/>
      <c r="Q214" s="57"/>
      <c r="R214" s="57"/>
      <c r="S214" s="57"/>
      <c r="T214" s="57"/>
      <c r="U214" s="57"/>
      <c r="V214" s="57"/>
      <c r="W214" s="57"/>
      <c r="X214" s="148"/>
      <c r="Y214" s="148"/>
      <c r="Z214" s="148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</row>
    <row r="215" spans="7:41" x14ac:dyDescent="0.2">
      <c r="K215" s="174"/>
      <c r="L215" s="174"/>
      <c r="M215" s="174"/>
      <c r="N215" s="174"/>
      <c r="O215" s="175"/>
      <c r="P215" s="174"/>
      <c r="Q215" s="57"/>
      <c r="R215" s="57"/>
      <c r="S215" s="57"/>
      <c r="T215" s="57"/>
      <c r="U215" s="57"/>
      <c r="V215" s="57"/>
      <c r="W215" s="57"/>
      <c r="X215" s="148"/>
      <c r="Y215" s="148"/>
      <c r="Z215" s="148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</row>
    <row r="216" spans="7:41" x14ac:dyDescent="0.2">
      <c r="K216" s="174"/>
      <c r="L216" s="174"/>
      <c r="M216" s="174"/>
      <c r="N216" s="174"/>
      <c r="O216" s="175"/>
      <c r="P216" s="174"/>
      <c r="Q216" s="57"/>
      <c r="R216" s="57"/>
      <c r="S216" s="57"/>
      <c r="T216" s="57"/>
      <c r="U216" s="57"/>
      <c r="V216" s="57"/>
      <c r="W216" s="57"/>
      <c r="X216" s="148"/>
      <c r="Y216" s="148"/>
      <c r="Z216" s="148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</row>
    <row r="217" spans="7:41" x14ac:dyDescent="0.2">
      <c r="G217" s="4"/>
      <c r="H217" s="4"/>
      <c r="I217" s="4"/>
      <c r="J217" s="4"/>
      <c r="K217" s="176"/>
      <c r="L217" s="176"/>
      <c r="M217" s="176"/>
      <c r="N217" s="176"/>
      <c r="O217" s="177"/>
      <c r="P217" s="176"/>
      <c r="Q217" s="57"/>
      <c r="R217" s="57"/>
      <c r="S217" s="57"/>
      <c r="T217" s="57"/>
      <c r="U217" s="57"/>
      <c r="V217" s="57"/>
      <c r="W217" s="57"/>
      <c r="X217" s="148"/>
      <c r="Y217" s="148"/>
      <c r="Z217" s="148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</row>
    <row r="218" spans="7:41" x14ac:dyDescent="0.2">
      <c r="G218" s="4"/>
      <c r="H218" s="4"/>
      <c r="I218" s="4"/>
      <c r="J218" s="4"/>
      <c r="K218" s="176"/>
      <c r="L218" s="176"/>
      <c r="M218" s="176"/>
      <c r="N218" s="176"/>
      <c r="O218" s="177"/>
      <c r="P218" s="176"/>
      <c r="Q218" s="57"/>
      <c r="R218" s="57"/>
      <c r="S218" s="57"/>
      <c r="T218" s="57"/>
      <c r="U218" s="57"/>
      <c r="V218" s="57"/>
      <c r="W218" s="57"/>
      <c r="X218" s="148"/>
      <c r="Y218" s="148"/>
      <c r="Z218" s="148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</row>
    <row r="219" spans="7:41" x14ac:dyDescent="0.2">
      <c r="G219" s="4"/>
      <c r="H219" s="4"/>
      <c r="I219" s="4"/>
      <c r="J219" s="4"/>
      <c r="K219" s="176"/>
      <c r="L219" s="176"/>
      <c r="M219" s="176"/>
      <c r="N219" s="176"/>
      <c r="O219" s="177"/>
      <c r="P219" s="176"/>
      <c r="Q219" s="57"/>
      <c r="R219" s="57"/>
      <c r="S219" s="57"/>
      <c r="T219" s="57"/>
      <c r="U219" s="57"/>
      <c r="V219" s="57"/>
      <c r="W219" s="57"/>
      <c r="X219" s="148"/>
      <c r="Y219" s="148"/>
      <c r="Z219" s="148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</row>
    <row r="220" spans="7:41" x14ac:dyDescent="0.2">
      <c r="G220" s="4"/>
      <c r="H220" s="4"/>
      <c r="I220" s="4"/>
      <c r="J220" s="4"/>
      <c r="K220" s="176"/>
      <c r="L220" s="176"/>
      <c r="M220" s="176"/>
      <c r="N220" s="176"/>
      <c r="O220" s="177"/>
      <c r="P220" s="176"/>
      <c r="Q220" s="57"/>
      <c r="R220" s="57"/>
      <c r="S220" s="57"/>
      <c r="T220" s="57"/>
      <c r="U220" s="57"/>
      <c r="V220" s="57"/>
      <c r="W220" s="57"/>
      <c r="X220" s="148"/>
      <c r="Y220" s="148"/>
      <c r="Z220" s="148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</row>
    <row r="221" spans="7:41" x14ac:dyDescent="0.2">
      <c r="G221" s="4"/>
      <c r="H221" s="4"/>
      <c r="I221" s="4"/>
      <c r="J221" s="4"/>
      <c r="K221" s="176"/>
      <c r="L221" s="176"/>
      <c r="M221" s="176"/>
      <c r="N221" s="176"/>
      <c r="O221" s="177"/>
      <c r="P221" s="176"/>
      <c r="Q221" s="57"/>
      <c r="R221" s="57"/>
      <c r="S221" s="57"/>
      <c r="T221" s="57"/>
      <c r="U221" s="57"/>
      <c r="V221" s="57"/>
      <c r="W221" s="57"/>
      <c r="X221" s="148"/>
      <c r="Y221" s="148"/>
      <c r="Z221" s="148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</row>
    <row r="222" spans="7:41" x14ac:dyDescent="0.2">
      <c r="G222" s="4"/>
      <c r="H222" s="4"/>
      <c r="I222" s="4"/>
      <c r="J222" s="4"/>
      <c r="K222" s="176"/>
      <c r="L222" s="176"/>
      <c r="M222" s="176"/>
      <c r="N222" s="176"/>
      <c r="O222" s="177"/>
      <c r="P222" s="176"/>
      <c r="Q222" s="57"/>
      <c r="R222" s="57"/>
      <c r="S222" s="57"/>
      <c r="T222" s="57"/>
      <c r="U222" s="57"/>
      <c r="V222" s="57"/>
      <c r="W222" s="57"/>
      <c r="X222" s="148"/>
      <c r="Y222" s="148"/>
      <c r="Z222" s="148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</row>
    <row r="223" spans="7:41" x14ac:dyDescent="0.2">
      <c r="G223" s="4"/>
      <c r="H223" s="4"/>
      <c r="I223" s="4"/>
      <c r="J223" s="4"/>
      <c r="K223" s="176"/>
      <c r="L223" s="176"/>
      <c r="M223" s="176"/>
      <c r="N223" s="176"/>
      <c r="O223" s="177"/>
      <c r="P223" s="176"/>
      <c r="Q223" s="57"/>
      <c r="R223" s="57"/>
      <c r="S223" s="57"/>
      <c r="T223" s="57"/>
      <c r="U223" s="57"/>
      <c r="V223" s="57"/>
      <c r="W223" s="57"/>
      <c r="X223" s="148"/>
      <c r="Y223" s="148"/>
      <c r="Z223" s="148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</row>
    <row r="224" spans="7:41" x14ac:dyDescent="0.2">
      <c r="G224" s="4"/>
      <c r="H224" s="4"/>
      <c r="I224" s="4"/>
      <c r="J224" s="4"/>
      <c r="K224" s="176"/>
      <c r="L224" s="176"/>
      <c r="M224" s="176"/>
      <c r="N224" s="176"/>
      <c r="O224" s="177"/>
      <c r="P224" s="176"/>
      <c r="Q224" s="57"/>
      <c r="R224" s="57"/>
      <c r="S224" s="57"/>
      <c r="T224" s="57"/>
      <c r="U224" s="57"/>
      <c r="V224" s="57"/>
      <c r="W224" s="57"/>
      <c r="X224" s="148"/>
      <c r="Y224" s="148"/>
      <c r="Z224" s="148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</row>
    <row r="225" spans="7:41" x14ac:dyDescent="0.2">
      <c r="G225" s="4"/>
      <c r="H225" s="4"/>
      <c r="I225" s="4"/>
      <c r="J225" s="4"/>
      <c r="K225" s="176"/>
      <c r="L225" s="176"/>
      <c r="M225" s="176"/>
      <c r="N225" s="176"/>
      <c r="O225" s="177"/>
      <c r="P225" s="176"/>
      <c r="Q225" s="57"/>
      <c r="R225" s="57"/>
      <c r="S225" s="57"/>
      <c r="T225" s="57"/>
      <c r="U225" s="57"/>
      <c r="V225" s="57"/>
      <c r="W225" s="57"/>
      <c r="X225" s="148"/>
      <c r="Y225" s="148"/>
      <c r="Z225" s="148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</row>
    <row r="226" spans="7:41" x14ac:dyDescent="0.2">
      <c r="G226" s="4"/>
      <c r="H226" s="4"/>
      <c r="I226" s="4"/>
      <c r="J226" s="4"/>
      <c r="K226" s="176"/>
      <c r="L226" s="176"/>
      <c r="M226" s="176"/>
      <c r="N226" s="176"/>
      <c r="O226" s="177"/>
      <c r="P226" s="176"/>
      <c r="Q226" s="57"/>
      <c r="R226" s="57"/>
      <c r="S226" s="57"/>
      <c r="T226" s="57"/>
      <c r="U226" s="57"/>
      <c r="V226" s="57"/>
      <c r="W226" s="57"/>
      <c r="X226" s="148"/>
      <c r="Y226" s="148"/>
      <c r="Z226" s="148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</row>
    <row r="227" spans="7:41" x14ac:dyDescent="0.2">
      <c r="G227" s="4"/>
      <c r="H227" s="4"/>
      <c r="I227" s="4"/>
      <c r="J227" s="4"/>
      <c r="K227" s="176"/>
      <c r="L227" s="176"/>
      <c r="M227" s="176"/>
      <c r="N227" s="176"/>
      <c r="O227" s="177"/>
      <c r="P227" s="176"/>
      <c r="Q227" s="57"/>
      <c r="R227" s="57"/>
      <c r="S227" s="57"/>
      <c r="T227" s="57"/>
      <c r="U227" s="57"/>
      <c r="V227" s="57"/>
      <c r="W227" s="57"/>
      <c r="X227" s="148"/>
      <c r="Y227" s="148"/>
      <c r="Z227" s="148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</row>
    <row r="228" spans="7:41" x14ac:dyDescent="0.2">
      <c r="G228" s="4"/>
      <c r="H228" s="4"/>
      <c r="I228" s="4"/>
      <c r="J228" s="4"/>
      <c r="K228" s="176"/>
      <c r="L228" s="176"/>
      <c r="M228" s="176"/>
      <c r="N228" s="176"/>
      <c r="O228" s="177"/>
      <c r="P228" s="176"/>
      <c r="Q228" s="57"/>
      <c r="R228" s="57"/>
      <c r="S228" s="57"/>
      <c r="T228" s="57"/>
      <c r="U228" s="57"/>
      <c r="V228" s="57"/>
      <c r="W228" s="57"/>
      <c r="X228" s="148"/>
      <c r="Y228" s="148"/>
      <c r="Z228" s="148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</row>
    <row r="229" spans="7:41" x14ac:dyDescent="0.2">
      <c r="G229" s="4"/>
      <c r="H229" s="4"/>
      <c r="I229" s="4"/>
      <c r="J229" s="4"/>
      <c r="K229" s="176"/>
      <c r="L229" s="176"/>
      <c r="M229" s="176"/>
      <c r="N229" s="176"/>
      <c r="O229" s="177"/>
      <c r="P229" s="176"/>
      <c r="Q229" s="57"/>
      <c r="R229" s="57"/>
      <c r="S229" s="57"/>
      <c r="T229" s="57"/>
      <c r="U229" s="57"/>
      <c r="V229" s="57"/>
      <c r="W229" s="57"/>
      <c r="X229" s="148"/>
      <c r="Y229" s="148"/>
      <c r="Z229" s="148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</row>
    <row r="230" spans="7:41" x14ac:dyDescent="0.2">
      <c r="G230" s="4"/>
      <c r="H230" s="4"/>
      <c r="I230" s="4"/>
      <c r="J230" s="4"/>
      <c r="K230" s="176"/>
      <c r="L230" s="176"/>
      <c r="M230" s="176"/>
      <c r="N230" s="176"/>
      <c r="O230" s="177"/>
      <c r="P230" s="176"/>
      <c r="Q230" s="57"/>
      <c r="R230" s="57"/>
      <c r="S230" s="57"/>
      <c r="T230" s="57"/>
      <c r="U230" s="57"/>
      <c r="V230" s="57"/>
      <c r="W230" s="57"/>
      <c r="X230" s="148"/>
      <c r="Y230" s="148"/>
      <c r="Z230" s="148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</row>
    <row r="231" spans="7:41" x14ac:dyDescent="0.2">
      <c r="G231" s="4"/>
      <c r="H231" s="4"/>
      <c r="I231" s="4"/>
      <c r="J231" s="4"/>
      <c r="K231" s="176"/>
      <c r="L231" s="176"/>
      <c r="M231" s="176"/>
      <c r="N231" s="176"/>
      <c r="O231" s="177"/>
      <c r="P231" s="176"/>
      <c r="Q231" s="57"/>
      <c r="R231" s="57"/>
      <c r="S231" s="57"/>
      <c r="T231" s="57"/>
      <c r="U231" s="57"/>
      <c r="V231" s="57"/>
      <c r="W231" s="57"/>
      <c r="X231" s="148"/>
      <c r="Y231" s="148"/>
      <c r="Z231" s="148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</row>
    <row r="232" spans="7:41" x14ac:dyDescent="0.2">
      <c r="G232" s="4"/>
      <c r="H232" s="4"/>
      <c r="I232" s="4"/>
      <c r="J232" s="4"/>
      <c r="K232" s="176"/>
      <c r="L232" s="176"/>
      <c r="M232" s="176"/>
      <c r="N232" s="176"/>
      <c r="O232" s="177"/>
      <c r="P232" s="176"/>
      <c r="Q232" s="57"/>
      <c r="R232" s="57"/>
      <c r="S232" s="57"/>
      <c r="T232" s="57"/>
      <c r="U232" s="57"/>
      <c r="V232" s="57"/>
      <c r="W232" s="57"/>
      <c r="X232" s="148"/>
      <c r="Y232" s="148"/>
      <c r="Z232" s="148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</row>
    <row r="233" spans="7:41" x14ac:dyDescent="0.2">
      <c r="G233" s="4"/>
      <c r="H233" s="4"/>
      <c r="I233" s="4"/>
      <c r="J233" s="4"/>
      <c r="K233" s="176"/>
      <c r="L233" s="176"/>
      <c r="M233" s="176"/>
      <c r="N233" s="176"/>
      <c r="O233" s="177"/>
      <c r="P233" s="176"/>
      <c r="Q233" s="57"/>
      <c r="R233" s="57"/>
      <c r="S233" s="57"/>
      <c r="T233" s="57"/>
      <c r="U233" s="57"/>
      <c r="V233" s="57"/>
      <c r="W233" s="57"/>
      <c r="X233" s="148"/>
      <c r="Y233" s="148"/>
      <c r="Z233" s="148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</row>
    <row r="234" spans="7:41" x14ac:dyDescent="0.2">
      <c r="G234" s="4"/>
      <c r="H234" s="4"/>
      <c r="I234" s="4"/>
      <c r="J234" s="4"/>
      <c r="K234" s="176"/>
      <c r="L234" s="176"/>
      <c r="M234" s="176"/>
      <c r="N234" s="176"/>
      <c r="O234" s="177"/>
      <c r="P234" s="176"/>
      <c r="Q234" s="57"/>
      <c r="R234" s="57"/>
      <c r="S234" s="57"/>
      <c r="T234" s="57"/>
      <c r="U234" s="57"/>
      <c r="V234" s="57"/>
      <c r="W234" s="57"/>
      <c r="X234" s="148"/>
      <c r="Y234" s="148"/>
      <c r="Z234" s="148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</row>
    <row r="235" spans="7:41" x14ac:dyDescent="0.2">
      <c r="G235" s="4"/>
      <c r="H235" s="4"/>
      <c r="I235" s="4"/>
      <c r="J235" s="4"/>
      <c r="K235" s="176"/>
      <c r="L235" s="176"/>
      <c r="M235" s="176"/>
      <c r="N235" s="176"/>
      <c r="O235" s="177"/>
      <c r="P235" s="176"/>
      <c r="Q235" s="57"/>
      <c r="R235" s="57"/>
      <c r="S235" s="57"/>
      <c r="T235" s="57"/>
      <c r="U235" s="57"/>
      <c r="V235" s="57"/>
      <c r="W235" s="57"/>
      <c r="X235" s="148"/>
      <c r="Y235" s="148"/>
      <c r="Z235" s="148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</row>
    <row r="236" spans="7:41" x14ac:dyDescent="0.2">
      <c r="G236" s="4"/>
      <c r="H236" s="4"/>
      <c r="I236" s="4"/>
      <c r="J236" s="4"/>
      <c r="K236" s="176"/>
      <c r="L236" s="176"/>
      <c r="M236" s="176"/>
      <c r="N236" s="176"/>
      <c r="O236" s="177"/>
      <c r="P236" s="176"/>
      <c r="Q236" s="57"/>
      <c r="R236" s="57"/>
      <c r="S236" s="57"/>
      <c r="T236" s="57"/>
      <c r="U236" s="57"/>
      <c r="V236" s="57"/>
      <c r="W236" s="57"/>
      <c r="X236" s="148"/>
      <c r="Y236" s="148"/>
      <c r="Z236" s="148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</row>
    <row r="237" spans="7:41" x14ac:dyDescent="0.2">
      <c r="G237" s="4"/>
      <c r="H237" s="4"/>
      <c r="I237" s="4"/>
      <c r="J237" s="4"/>
      <c r="K237" s="176"/>
      <c r="L237" s="176"/>
      <c r="M237" s="176"/>
      <c r="N237" s="176"/>
      <c r="O237" s="177"/>
      <c r="P237" s="176"/>
      <c r="Q237" s="57"/>
      <c r="R237" s="57"/>
      <c r="S237" s="57"/>
      <c r="T237" s="57"/>
      <c r="U237" s="57"/>
      <c r="V237" s="57"/>
      <c r="W237" s="57"/>
      <c r="X237" s="148"/>
      <c r="Y237" s="148"/>
      <c r="Z237" s="148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</row>
    <row r="238" spans="7:41" x14ac:dyDescent="0.2">
      <c r="G238" s="4"/>
      <c r="H238" s="4"/>
      <c r="I238" s="4"/>
      <c r="J238" s="4"/>
      <c r="K238" s="176"/>
      <c r="L238" s="176"/>
      <c r="M238" s="176"/>
      <c r="N238" s="176"/>
      <c r="O238" s="176"/>
      <c r="P238" s="176"/>
      <c r="Q238" s="57"/>
      <c r="R238" s="57"/>
      <c r="S238" s="57"/>
      <c r="T238" s="57"/>
      <c r="U238" s="57"/>
      <c r="V238" s="57"/>
      <c r="W238" s="57"/>
      <c r="X238" s="148"/>
      <c r="Y238" s="148"/>
      <c r="Z238" s="148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</row>
    <row r="239" spans="7:41" x14ac:dyDescent="0.2">
      <c r="G239" s="4"/>
      <c r="H239" s="4"/>
      <c r="I239" s="4"/>
      <c r="J239" s="4"/>
      <c r="K239" s="176"/>
      <c r="L239" s="176"/>
      <c r="M239" s="176"/>
      <c r="N239" s="176"/>
      <c r="O239" s="177"/>
      <c r="P239" s="176"/>
      <c r="Q239" s="57"/>
      <c r="R239" s="57"/>
      <c r="S239" s="57"/>
      <c r="T239" s="57"/>
      <c r="U239" s="57"/>
      <c r="X239" s="148"/>
      <c r="Y239" s="148"/>
      <c r="Z239" s="148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</row>
    <row r="240" spans="7:41" x14ac:dyDescent="0.2">
      <c r="G240" s="4"/>
      <c r="H240" s="4"/>
      <c r="I240" s="4"/>
      <c r="J240" s="4"/>
      <c r="K240" s="176"/>
      <c r="L240" s="176"/>
      <c r="M240" s="176"/>
      <c r="N240" s="176"/>
      <c r="O240" s="177"/>
      <c r="P240" s="176"/>
      <c r="Q240" s="57"/>
      <c r="R240" s="57"/>
      <c r="S240" s="57"/>
      <c r="T240" s="57"/>
      <c r="U240" s="57"/>
      <c r="X240" s="148"/>
      <c r="Y240" s="148"/>
      <c r="Z240" s="148"/>
      <c r="AG240" s="57"/>
      <c r="AH240" s="57"/>
      <c r="AI240" s="57"/>
      <c r="AJ240" s="57"/>
      <c r="AK240" s="57"/>
      <c r="AL240" s="57"/>
      <c r="AM240" s="57"/>
      <c r="AN240" s="57"/>
      <c r="AO240" s="57"/>
    </row>
    <row r="241" spans="7:41" x14ac:dyDescent="0.2">
      <c r="G241" s="4"/>
      <c r="H241" s="4"/>
      <c r="I241" s="4"/>
      <c r="J241" s="4"/>
      <c r="K241" s="176"/>
      <c r="L241" s="176"/>
      <c r="M241" s="176"/>
      <c r="N241" s="176"/>
      <c r="O241" s="177"/>
      <c r="P241" s="176"/>
      <c r="Q241" s="57"/>
      <c r="R241" s="57"/>
      <c r="S241" s="57"/>
      <c r="T241" s="57"/>
      <c r="U241" s="57"/>
      <c r="X241" s="148"/>
      <c r="Y241" s="148"/>
      <c r="Z241" s="148"/>
      <c r="AG241" s="57"/>
      <c r="AH241" s="57"/>
      <c r="AI241" s="57"/>
      <c r="AJ241" s="57"/>
      <c r="AK241" s="57"/>
      <c r="AL241" s="57"/>
      <c r="AM241" s="57"/>
      <c r="AN241" s="57"/>
      <c r="AO241" s="57"/>
    </row>
    <row r="242" spans="7:41" x14ac:dyDescent="0.2">
      <c r="G242" s="4"/>
      <c r="H242" s="4"/>
      <c r="I242" s="4"/>
      <c r="J242" s="4"/>
      <c r="K242" s="176"/>
      <c r="L242" s="176"/>
      <c r="M242" s="176"/>
      <c r="N242" s="176"/>
      <c r="O242" s="177"/>
      <c r="P242" s="176"/>
      <c r="Q242" s="57"/>
      <c r="R242" s="57"/>
      <c r="S242" s="57"/>
      <c r="T242" s="57"/>
      <c r="U242" s="57"/>
      <c r="X242" s="148"/>
      <c r="Y242" s="148"/>
      <c r="Z242" s="148"/>
      <c r="AG242" s="57"/>
      <c r="AH242" s="57"/>
      <c r="AI242" s="57"/>
      <c r="AJ242" s="57"/>
      <c r="AK242" s="57"/>
      <c r="AL242" s="57"/>
      <c r="AM242" s="57"/>
      <c r="AN242" s="57"/>
      <c r="AO242" s="57"/>
    </row>
    <row r="243" spans="7:41" x14ac:dyDescent="0.2">
      <c r="G243" s="4"/>
      <c r="H243" s="4"/>
      <c r="I243" s="4"/>
      <c r="J243" s="4"/>
      <c r="K243" s="176"/>
      <c r="L243" s="176"/>
      <c r="M243" s="176"/>
      <c r="N243" s="176"/>
      <c r="O243" s="177"/>
      <c r="P243" s="176"/>
      <c r="Q243" s="57"/>
      <c r="R243" s="57"/>
      <c r="S243" s="57"/>
      <c r="T243" s="57"/>
      <c r="U243" s="57"/>
      <c r="X243" s="148"/>
      <c r="Y243" s="148"/>
      <c r="Z243" s="148"/>
      <c r="AG243" s="57"/>
      <c r="AH243" s="57"/>
      <c r="AI243" s="57"/>
      <c r="AJ243" s="57"/>
      <c r="AK243" s="57"/>
      <c r="AL243" s="57"/>
      <c r="AM243" s="57"/>
      <c r="AN243" s="57"/>
      <c r="AO243" s="57"/>
    </row>
    <row r="244" spans="7:41" x14ac:dyDescent="0.2">
      <c r="G244" s="4"/>
      <c r="H244" s="4"/>
      <c r="I244" s="4"/>
      <c r="J244" s="4"/>
      <c r="K244" s="176"/>
      <c r="L244" s="176"/>
      <c r="M244" s="176"/>
      <c r="N244" s="176"/>
      <c r="O244" s="177"/>
      <c r="P244" s="176"/>
      <c r="Q244" s="57"/>
      <c r="R244" s="57"/>
      <c r="S244" s="57"/>
      <c r="T244" s="57"/>
      <c r="U244" s="57"/>
      <c r="X244" s="148"/>
      <c r="Y244" s="148"/>
      <c r="Z244" s="148"/>
      <c r="AG244" s="57"/>
      <c r="AH244" s="57"/>
      <c r="AI244" s="57"/>
      <c r="AJ244" s="57"/>
      <c r="AK244" s="57"/>
      <c r="AL244" s="57"/>
      <c r="AM244" s="57"/>
      <c r="AN244" s="57"/>
      <c r="AO244" s="57"/>
    </row>
    <row r="245" spans="7:41" x14ac:dyDescent="0.2">
      <c r="G245" s="4"/>
      <c r="H245" s="4"/>
      <c r="I245" s="4"/>
      <c r="J245" s="4"/>
      <c r="K245" s="176"/>
      <c r="L245" s="176"/>
      <c r="M245" s="176"/>
      <c r="N245" s="176"/>
      <c r="O245" s="177"/>
      <c r="P245" s="176"/>
      <c r="Q245" s="57"/>
      <c r="R245" s="57"/>
      <c r="S245" s="57"/>
      <c r="T245" s="57"/>
      <c r="U245" s="57"/>
      <c r="X245" s="148"/>
      <c r="Y245" s="148"/>
      <c r="Z245" s="148"/>
      <c r="AG245" s="57"/>
      <c r="AH245" s="57"/>
      <c r="AI245" s="57"/>
      <c r="AJ245" s="57"/>
      <c r="AK245" s="57"/>
      <c r="AL245" s="57"/>
      <c r="AM245" s="57"/>
      <c r="AN245" s="57"/>
      <c r="AO245" s="57"/>
    </row>
    <row r="246" spans="7:41" x14ac:dyDescent="0.2">
      <c r="G246" s="4"/>
      <c r="H246" s="4"/>
      <c r="I246" s="4"/>
      <c r="J246" s="4"/>
      <c r="K246" s="176"/>
      <c r="L246" s="176"/>
      <c r="M246" s="176"/>
      <c r="N246" s="176"/>
      <c r="O246" s="177"/>
      <c r="P246" s="176"/>
      <c r="Q246" s="57"/>
      <c r="R246" s="57"/>
      <c r="S246" s="57"/>
      <c r="T246" s="57"/>
      <c r="U246" s="57"/>
      <c r="X246" s="148"/>
      <c r="Y246" s="148"/>
      <c r="Z246" s="148"/>
      <c r="AG246" s="57"/>
      <c r="AH246" s="57"/>
      <c r="AI246" s="57"/>
      <c r="AJ246" s="57"/>
      <c r="AK246" s="57"/>
      <c r="AL246" s="57"/>
      <c r="AM246" s="57"/>
      <c r="AN246" s="57"/>
      <c r="AO246" s="57"/>
    </row>
    <row r="247" spans="7:41" x14ac:dyDescent="0.2">
      <c r="G247" s="4"/>
      <c r="H247" s="4"/>
      <c r="I247" s="4"/>
      <c r="J247" s="4"/>
      <c r="K247" s="176"/>
      <c r="L247" s="176"/>
      <c r="M247" s="176"/>
      <c r="N247" s="176"/>
      <c r="O247" s="177"/>
      <c r="P247" s="176"/>
      <c r="Q247" s="57"/>
      <c r="R247" s="57"/>
      <c r="S247" s="57"/>
      <c r="T247" s="57"/>
      <c r="U247" s="57"/>
      <c r="X247" s="148"/>
      <c r="Y247" s="148"/>
      <c r="Z247" s="148"/>
      <c r="AG247" s="57"/>
      <c r="AH247" s="57"/>
      <c r="AI247" s="57"/>
      <c r="AJ247" s="57"/>
      <c r="AK247" s="57"/>
      <c r="AL247" s="57"/>
      <c r="AM247" s="57"/>
      <c r="AN247" s="57"/>
      <c r="AO247" s="57"/>
    </row>
    <row r="248" spans="7:41" x14ac:dyDescent="0.2">
      <c r="G248" s="4"/>
      <c r="H248" s="4"/>
      <c r="I248" s="4"/>
      <c r="J248" s="4"/>
      <c r="K248" s="176"/>
      <c r="L248" s="176"/>
      <c r="M248" s="176"/>
      <c r="N248" s="176"/>
      <c r="O248" s="177"/>
      <c r="P248" s="176"/>
      <c r="Q248" s="57"/>
      <c r="R248" s="57"/>
      <c r="S248" s="57"/>
      <c r="T248" s="57"/>
      <c r="U248" s="57"/>
      <c r="X248" s="148"/>
      <c r="Y248" s="148"/>
      <c r="Z248" s="148"/>
      <c r="AG248" s="57"/>
      <c r="AH248" s="57"/>
      <c r="AI248" s="57"/>
      <c r="AJ248" s="57"/>
      <c r="AK248" s="57"/>
      <c r="AL248" s="57"/>
      <c r="AM248" s="57"/>
      <c r="AN248" s="57"/>
      <c r="AO248" s="57"/>
    </row>
    <row r="249" spans="7:41" x14ac:dyDescent="0.2">
      <c r="G249" s="4"/>
      <c r="H249" s="4"/>
      <c r="I249" s="4"/>
      <c r="J249" s="4"/>
      <c r="K249" s="176"/>
      <c r="L249" s="176"/>
      <c r="M249" s="176"/>
      <c r="N249" s="176"/>
      <c r="O249" s="177"/>
      <c r="P249" s="176"/>
      <c r="Q249" s="57"/>
      <c r="R249" s="57"/>
      <c r="S249" s="57"/>
      <c r="T249" s="57"/>
      <c r="U249" s="57"/>
      <c r="X249" s="148"/>
      <c r="Y249" s="148"/>
      <c r="Z249" s="148"/>
      <c r="AG249" s="57"/>
      <c r="AH249" s="57"/>
      <c r="AI249" s="57"/>
      <c r="AJ249" s="57"/>
      <c r="AK249" s="57"/>
      <c r="AL249" s="57"/>
      <c r="AM249" s="57"/>
      <c r="AN249" s="57"/>
      <c r="AO249" s="57"/>
    </row>
    <row r="250" spans="7:41" x14ac:dyDescent="0.2">
      <c r="G250" s="4"/>
      <c r="H250" s="4"/>
      <c r="I250" s="4"/>
      <c r="J250" s="4"/>
      <c r="K250" s="176"/>
      <c r="L250" s="176"/>
      <c r="M250" s="176"/>
      <c r="N250" s="176"/>
      <c r="O250" s="177"/>
      <c r="P250" s="176"/>
      <c r="Q250" s="57"/>
      <c r="R250" s="57"/>
      <c r="S250" s="57"/>
      <c r="T250" s="57"/>
      <c r="U250" s="57"/>
      <c r="X250" s="148"/>
      <c r="Y250" s="148"/>
      <c r="Z250" s="148"/>
      <c r="AG250" s="57"/>
      <c r="AH250" s="57"/>
      <c r="AI250" s="57"/>
      <c r="AJ250" s="57"/>
      <c r="AK250" s="57"/>
      <c r="AL250" s="57"/>
      <c r="AM250" s="57"/>
      <c r="AN250" s="57"/>
      <c r="AO250" s="57"/>
    </row>
    <row r="251" spans="7:41" x14ac:dyDescent="0.2">
      <c r="G251" s="4"/>
      <c r="H251" s="4"/>
      <c r="I251" s="4"/>
      <c r="J251" s="4"/>
      <c r="K251" s="176"/>
      <c r="L251" s="176"/>
      <c r="M251" s="176"/>
      <c r="N251" s="176"/>
      <c r="O251" s="177"/>
      <c r="P251" s="176"/>
      <c r="Q251" s="57"/>
      <c r="R251" s="57"/>
      <c r="S251" s="57"/>
      <c r="T251" s="57"/>
      <c r="U251" s="57"/>
      <c r="X251" s="148"/>
      <c r="Y251" s="148"/>
      <c r="Z251" s="148"/>
      <c r="AG251" s="57"/>
      <c r="AH251" s="57"/>
      <c r="AI251" s="57"/>
      <c r="AJ251" s="57"/>
      <c r="AK251" s="57"/>
      <c r="AL251" s="57"/>
      <c r="AM251" s="57"/>
      <c r="AN251" s="57"/>
      <c r="AO251" s="57"/>
    </row>
    <row r="252" spans="7:41" x14ac:dyDescent="0.2">
      <c r="G252" s="4"/>
      <c r="H252" s="4"/>
      <c r="I252" s="4"/>
      <c r="J252" s="4"/>
      <c r="K252" s="176"/>
      <c r="L252" s="176"/>
      <c r="M252" s="176"/>
      <c r="N252" s="176"/>
      <c r="O252" s="177"/>
      <c r="P252" s="176"/>
      <c r="Q252" s="57"/>
      <c r="R252" s="57"/>
      <c r="S252" s="57"/>
      <c r="T252" s="57"/>
      <c r="U252" s="57"/>
      <c r="X252" s="148"/>
      <c r="Y252" s="148"/>
      <c r="Z252" s="148"/>
      <c r="AG252" s="57"/>
      <c r="AH252" s="57"/>
      <c r="AI252" s="57"/>
      <c r="AJ252" s="57"/>
      <c r="AK252" s="57"/>
      <c r="AL252" s="57"/>
      <c r="AM252" s="57"/>
      <c r="AN252" s="57"/>
      <c r="AO252" s="57"/>
    </row>
    <row r="253" spans="7:41" x14ac:dyDescent="0.2">
      <c r="G253" s="4"/>
      <c r="H253" s="4"/>
      <c r="I253" s="4"/>
      <c r="J253" s="4"/>
      <c r="K253" s="176"/>
      <c r="L253" s="176"/>
      <c r="M253" s="176"/>
      <c r="N253" s="176"/>
      <c r="O253" s="177"/>
      <c r="P253" s="176"/>
      <c r="Q253" s="57"/>
      <c r="R253" s="57"/>
      <c r="S253" s="57"/>
      <c r="T253" s="57"/>
      <c r="U253" s="57"/>
      <c r="X253" s="148"/>
      <c r="Y253" s="148"/>
      <c r="Z253" s="148"/>
      <c r="AG253" s="57"/>
      <c r="AH253" s="57"/>
      <c r="AI253" s="57"/>
      <c r="AJ253" s="57"/>
      <c r="AK253" s="57"/>
      <c r="AL253" s="57"/>
      <c r="AM253" s="57"/>
      <c r="AN253" s="57"/>
      <c r="AO253" s="57"/>
    </row>
    <row r="254" spans="7:41" x14ac:dyDescent="0.2">
      <c r="G254" s="4"/>
      <c r="H254" s="4"/>
      <c r="I254" s="4"/>
      <c r="J254" s="4"/>
      <c r="K254" s="176"/>
      <c r="L254" s="176"/>
      <c r="M254" s="176"/>
      <c r="N254" s="176"/>
      <c r="O254" s="177"/>
      <c r="P254" s="176"/>
      <c r="Q254" s="57"/>
      <c r="R254" s="57"/>
      <c r="S254" s="57"/>
      <c r="T254" s="57"/>
      <c r="U254" s="57"/>
      <c r="X254" s="148"/>
      <c r="Y254" s="148"/>
      <c r="Z254" s="148"/>
      <c r="AG254" s="57"/>
      <c r="AH254" s="57"/>
      <c r="AI254" s="57"/>
      <c r="AJ254" s="57"/>
      <c r="AK254" s="57"/>
      <c r="AL254" s="57"/>
      <c r="AM254" s="57"/>
      <c r="AN254" s="57"/>
      <c r="AO254" s="57"/>
    </row>
    <row r="255" spans="7:41" x14ac:dyDescent="0.2">
      <c r="G255" s="4"/>
      <c r="H255" s="4"/>
      <c r="I255" s="4"/>
      <c r="J255" s="4"/>
      <c r="K255" s="176"/>
      <c r="L255" s="176"/>
      <c r="M255" s="176"/>
      <c r="N255" s="176"/>
      <c r="O255" s="177"/>
      <c r="P255" s="178"/>
      <c r="Q255" s="57"/>
      <c r="R255" s="57"/>
      <c r="S255" s="57"/>
      <c r="T255" s="57"/>
      <c r="U255" s="57"/>
      <c r="X255" s="148"/>
      <c r="Y255" s="148"/>
      <c r="Z255" s="148"/>
      <c r="AG255" s="57"/>
      <c r="AH255" s="57"/>
      <c r="AI255" s="57"/>
      <c r="AJ255" s="57"/>
      <c r="AK255" s="57"/>
      <c r="AL255" s="57"/>
      <c r="AM255" s="57"/>
      <c r="AN255" s="57"/>
      <c r="AO255" s="57"/>
    </row>
    <row r="256" spans="7:41" x14ac:dyDescent="0.2">
      <c r="G256" s="4"/>
      <c r="H256" s="4"/>
      <c r="I256" s="4"/>
      <c r="J256" s="4"/>
      <c r="K256" s="176"/>
      <c r="L256" s="176"/>
      <c r="M256" s="176"/>
      <c r="N256" s="176"/>
      <c r="O256" s="177"/>
      <c r="P256" s="178"/>
      <c r="Q256" s="57"/>
      <c r="R256" s="57"/>
      <c r="S256" s="57"/>
      <c r="T256" s="57"/>
      <c r="U256" s="57"/>
      <c r="X256" s="148"/>
      <c r="Y256" s="148"/>
      <c r="Z256" s="148"/>
      <c r="AG256" s="57"/>
      <c r="AH256" s="57"/>
      <c r="AI256" s="57"/>
      <c r="AJ256" s="57"/>
      <c r="AK256" s="57"/>
      <c r="AL256" s="57"/>
      <c r="AM256" s="57"/>
      <c r="AN256" s="57"/>
      <c r="AO256" s="57"/>
    </row>
    <row r="257" spans="7:26" x14ac:dyDescent="0.2">
      <c r="G257" s="4"/>
      <c r="H257" s="4"/>
      <c r="I257" s="4"/>
      <c r="J257" s="4"/>
      <c r="K257" s="176"/>
      <c r="L257" s="176"/>
      <c r="M257" s="176"/>
      <c r="N257" s="176"/>
      <c r="O257" s="177"/>
      <c r="P257" s="178"/>
      <c r="Q257" s="57"/>
      <c r="R257" s="57"/>
      <c r="S257" s="57"/>
      <c r="T257" s="57"/>
      <c r="U257" s="57"/>
      <c r="X257" s="148"/>
      <c r="Y257" s="148"/>
      <c r="Z257" s="148"/>
    </row>
    <row r="258" spans="7:26" x14ac:dyDescent="0.2">
      <c r="G258" s="4"/>
      <c r="H258" s="4"/>
      <c r="I258" s="4"/>
      <c r="J258" s="4"/>
      <c r="K258" s="176"/>
      <c r="L258" s="176"/>
      <c r="M258" s="176"/>
      <c r="N258" s="176"/>
      <c r="O258" s="177"/>
      <c r="P258" s="178"/>
      <c r="X258" s="148"/>
      <c r="Y258" s="148"/>
      <c r="Z258" s="148"/>
    </row>
    <row r="259" spans="7:26" x14ac:dyDescent="0.2">
      <c r="G259" s="4"/>
      <c r="H259" s="4"/>
      <c r="I259" s="4"/>
      <c r="J259" s="4"/>
      <c r="K259" s="176"/>
      <c r="L259" s="176"/>
      <c r="M259" s="176"/>
      <c r="N259" s="176"/>
      <c r="O259" s="177"/>
      <c r="P259" s="178"/>
      <c r="X259" s="148"/>
      <c r="Y259" s="148"/>
      <c r="Z259" s="148"/>
    </row>
    <row r="260" spans="7:26" x14ac:dyDescent="0.2">
      <c r="G260" s="4"/>
      <c r="H260" s="4"/>
      <c r="I260" s="4"/>
      <c r="J260" s="4"/>
      <c r="K260" s="176"/>
      <c r="L260" s="176"/>
      <c r="M260" s="176"/>
      <c r="N260" s="176"/>
      <c r="O260" s="177"/>
      <c r="P260" s="178"/>
      <c r="X260" s="148"/>
      <c r="Y260" s="148"/>
      <c r="Z260" s="148"/>
    </row>
    <row r="261" spans="7:26" x14ac:dyDescent="0.2">
      <c r="G261" s="4"/>
      <c r="H261" s="4"/>
      <c r="I261" s="4"/>
      <c r="J261" s="4"/>
      <c r="K261" s="176"/>
      <c r="L261" s="176"/>
      <c r="M261" s="176"/>
      <c r="N261" s="176"/>
      <c r="O261" s="177"/>
      <c r="P261" s="178"/>
      <c r="X261" s="148"/>
      <c r="Y261" s="148"/>
      <c r="Z261" s="148"/>
    </row>
    <row r="262" spans="7:26" x14ac:dyDescent="0.2">
      <c r="G262" s="4"/>
      <c r="H262" s="4"/>
      <c r="I262" s="4"/>
      <c r="J262" s="4"/>
      <c r="K262" s="176"/>
      <c r="L262" s="176"/>
      <c r="M262" s="176"/>
      <c r="N262" s="176"/>
      <c r="O262" s="177"/>
      <c r="P262" s="178"/>
      <c r="X262" s="148"/>
      <c r="Y262" s="148"/>
      <c r="Z262" s="148"/>
    </row>
    <row r="263" spans="7:26" x14ac:dyDescent="0.2">
      <c r="G263" s="4"/>
      <c r="H263" s="4"/>
      <c r="I263" s="4"/>
      <c r="J263" s="4"/>
      <c r="K263" s="176"/>
      <c r="L263" s="176"/>
      <c r="M263" s="176"/>
      <c r="N263" s="176"/>
      <c r="O263" s="177"/>
      <c r="P263" s="178"/>
      <c r="X263" s="148"/>
      <c r="Y263" s="148"/>
      <c r="Z263" s="148"/>
    </row>
    <row r="264" spans="7:26" x14ac:dyDescent="0.2">
      <c r="G264" s="4"/>
      <c r="H264" s="4"/>
      <c r="I264" s="4"/>
      <c r="J264" s="4"/>
      <c r="K264" s="176"/>
      <c r="L264" s="176"/>
      <c r="M264" s="176"/>
      <c r="N264" s="176"/>
      <c r="O264" s="177"/>
      <c r="P264" s="176"/>
      <c r="X264" s="148"/>
      <c r="Y264" s="148"/>
      <c r="Z264" s="148"/>
    </row>
    <row r="265" spans="7:26" x14ac:dyDescent="0.2">
      <c r="G265" s="4"/>
      <c r="H265" s="4"/>
      <c r="I265" s="4"/>
      <c r="J265" s="4"/>
      <c r="K265" s="176"/>
      <c r="L265" s="176"/>
      <c r="M265" s="176"/>
      <c r="N265" s="179"/>
      <c r="O265" s="179"/>
      <c r="P265" s="179"/>
      <c r="X265" s="148"/>
      <c r="Y265" s="148"/>
      <c r="Z265" s="148"/>
    </row>
    <row r="266" spans="7:26" x14ac:dyDescent="0.2">
      <c r="G266" s="4"/>
      <c r="H266" s="4"/>
      <c r="I266" s="4"/>
      <c r="J266" s="4"/>
      <c r="K266" s="176"/>
      <c r="L266" s="176"/>
      <c r="M266" s="176"/>
      <c r="N266" s="176"/>
      <c r="O266" s="177"/>
      <c r="P266" s="176"/>
      <c r="X266" s="148"/>
      <c r="Y266" s="148"/>
      <c r="Z266" s="148"/>
    </row>
    <row r="267" spans="7:26" x14ac:dyDescent="0.2">
      <c r="G267" s="4"/>
      <c r="H267" s="4"/>
      <c r="I267" s="4"/>
      <c r="J267" s="4"/>
      <c r="K267" s="176"/>
      <c r="L267" s="176"/>
      <c r="M267" s="176"/>
      <c r="N267" s="176"/>
      <c r="O267" s="177"/>
      <c r="P267" s="176"/>
      <c r="X267" s="148"/>
      <c r="Y267" s="148"/>
      <c r="Z267" s="148"/>
    </row>
    <row r="268" spans="7:26" x14ac:dyDescent="0.2">
      <c r="G268" s="4"/>
      <c r="H268" s="4"/>
      <c r="I268" s="4"/>
      <c r="J268" s="4"/>
      <c r="K268" s="176"/>
      <c r="L268" s="176"/>
      <c r="M268" s="176"/>
      <c r="N268" s="176"/>
      <c r="O268" s="177"/>
      <c r="P268" s="176"/>
      <c r="X268" s="148"/>
      <c r="Y268" s="148"/>
      <c r="Z268" s="148"/>
    </row>
    <row r="269" spans="7:26" x14ac:dyDescent="0.2">
      <c r="G269" s="4"/>
      <c r="H269" s="4"/>
      <c r="I269" s="4"/>
      <c r="J269" s="4"/>
      <c r="K269" s="176"/>
      <c r="L269" s="176"/>
      <c r="M269" s="176"/>
      <c r="N269" s="176"/>
      <c r="O269" s="177"/>
      <c r="P269" s="176"/>
      <c r="X269" s="148"/>
      <c r="Y269" s="148"/>
      <c r="Z269" s="148"/>
    </row>
    <row r="270" spans="7:26" x14ac:dyDescent="0.2">
      <c r="G270" s="4"/>
      <c r="H270" s="4"/>
      <c r="I270" s="4"/>
      <c r="J270" s="4"/>
      <c r="K270" s="176"/>
      <c r="L270" s="176"/>
      <c r="M270" s="176"/>
      <c r="N270" s="176"/>
      <c r="O270" s="177"/>
      <c r="P270" s="176"/>
      <c r="X270" s="148"/>
      <c r="Y270" s="148"/>
      <c r="Z270" s="148"/>
    </row>
    <row r="271" spans="7:26" x14ac:dyDescent="0.2">
      <c r="G271" s="4"/>
      <c r="H271" s="4"/>
      <c r="I271" s="4"/>
      <c r="J271" s="4"/>
      <c r="K271" s="176"/>
      <c r="L271" s="176"/>
      <c r="M271" s="176"/>
      <c r="N271" s="176"/>
      <c r="O271" s="177"/>
      <c r="P271" s="176"/>
      <c r="X271" s="148"/>
      <c r="Y271" s="148"/>
      <c r="Z271" s="148"/>
    </row>
    <row r="272" spans="7:26" x14ac:dyDescent="0.2">
      <c r="G272" s="4"/>
      <c r="H272" s="4"/>
      <c r="I272" s="4"/>
      <c r="J272" s="4"/>
      <c r="K272" s="176"/>
      <c r="L272" s="176"/>
      <c r="M272" s="176"/>
      <c r="N272" s="176"/>
      <c r="O272" s="177"/>
      <c r="P272" s="176"/>
      <c r="X272" s="148"/>
      <c r="Y272" s="148"/>
      <c r="Z272" s="148"/>
    </row>
    <row r="273" spans="7:27" x14ac:dyDescent="0.2">
      <c r="G273" s="4"/>
      <c r="H273" s="4"/>
      <c r="I273" s="4"/>
      <c r="J273" s="4"/>
      <c r="K273" s="176"/>
      <c r="L273" s="176"/>
      <c r="M273" s="176"/>
      <c r="N273" s="176"/>
      <c r="O273" s="177"/>
      <c r="P273" s="176"/>
      <c r="X273" s="148"/>
      <c r="Y273" s="148"/>
      <c r="Z273" s="148"/>
    </row>
    <row r="274" spans="7:27" x14ac:dyDescent="0.2">
      <c r="G274" s="4"/>
      <c r="H274" s="4"/>
      <c r="I274" s="4"/>
      <c r="J274" s="4"/>
      <c r="K274" s="176"/>
      <c r="L274" s="176"/>
      <c r="M274" s="176"/>
      <c r="N274" s="176"/>
      <c r="O274" s="177"/>
      <c r="P274" s="176"/>
      <c r="X274" s="148"/>
      <c r="Y274" s="148"/>
      <c r="Z274" s="148"/>
    </row>
    <row r="275" spans="7:27" x14ac:dyDescent="0.2">
      <c r="G275" s="4"/>
      <c r="H275" s="4"/>
      <c r="I275" s="4"/>
      <c r="J275" s="4"/>
      <c r="K275" s="176"/>
      <c r="L275" s="176"/>
      <c r="M275" s="176"/>
      <c r="N275" s="176"/>
      <c r="O275" s="177"/>
      <c r="P275" s="176"/>
      <c r="X275" s="148"/>
      <c r="Y275" s="148"/>
      <c r="Z275" s="148"/>
    </row>
    <row r="276" spans="7:27" x14ac:dyDescent="0.2">
      <c r="G276" s="4"/>
      <c r="H276" s="4"/>
      <c r="I276" s="4"/>
      <c r="J276" s="4"/>
      <c r="K276" s="176"/>
      <c r="L276" s="176"/>
      <c r="M276" s="176"/>
      <c r="N276" s="176"/>
      <c r="O276" s="177"/>
      <c r="P276" s="176"/>
      <c r="X276" s="148"/>
      <c r="Y276" s="148"/>
      <c r="Z276" s="148"/>
    </row>
    <row r="277" spans="7:27" x14ac:dyDescent="0.2">
      <c r="G277" s="4"/>
      <c r="H277" s="4"/>
      <c r="I277" s="4"/>
      <c r="J277" s="4"/>
      <c r="K277" s="176"/>
      <c r="L277" s="176"/>
      <c r="M277" s="176"/>
      <c r="N277" s="176"/>
      <c r="O277" s="177"/>
      <c r="P277" s="176"/>
      <c r="X277" s="148"/>
      <c r="Y277" s="148"/>
      <c r="Z277" s="148"/>
    </row>
    <row r="278" spans="7:27" x14ac:dyDescent="0.2">
      <c r="G278" s="4"/>
      <c r="H278" s="4"/>
      <c r="I278" s="4"/>
      <c r="J278" s="4"/>
      <c r="K278" s="176"/>
      <c r="L278" s="176"/>
      <c r="M278" s="176"/>
      <c r="N278" s="176"/>
      <c r="O278" s="177"/>
      <c r="P278" s="176"/>
      <c r="X278" s="148"/>
      <c r="Y278" s="148"/>
      <c r="Z278" s="148"/>
    </row>
    <row r="279" spans="7:27" x14ac:dyDescent="0.2">
      <c r="G279" s="4"/>
      <c r="H279" s="4"/>
      <c r="I279" s="4"/>
      <c r="J279" s="4"/>
      <c r="K279" s="176"/>
      <c r="L279" s="176"/>
      <c r="M279" s="176"/>
      <c r="N279" s="176"/>
      <c r="O279" s="177"/>
      <c r="P279" s="176"/>
      <c r="X279" s="148"/>
      <c r="Y279" s="148"/>
      <c r="Z279" s="148"/>
    </row>
    <row r="280" spans="7:27" x14ac:dyDescent="0.2">
      <c r="G280" s="4"/>
      <c r="H280" s="4"/>
      <c r="I280" s="4"/>
      <c r="J280" s="4"/>
      <c r="K280" s="176"/>
      <c r="L280" s="176"/>
      <c r="M280" s="176"/>
      <c r="N280" s="176"/>
      <c r="O280" s="177"/>
      <c r="P280" s="176"/>
      <c r="X280" s="148"/>
      <c r="Y280" s="148"/>
      <c r="Z280" s="148"/>
    </row>
    <row r="281" spans="7:27" x14ac:dyDescent="0.2">
      <c r="G281" s="4"/>
      <c r="H281" s="4"/>
      <c r="I281" s="4"/>
      <c r="J281" s="4"/>
      <c r="K281" s="176"/>
      <c r="L281" s="176"/>
      <c r="M281" s="176"/>
      <c r="N281" s="176"/>
      <c r="O281" s="177"/>
      <c r="P281" s="176"/>
      <c r="X281" s="148"/>
      <c r="Y281" s="148"/>
      <c r="Z281" s="148"/>
    </row>
    <row r="282" spans="7:27" x14ac:dyDescent="0.2">
      <c r="G282" s="4"/>
      <c r="H282" s="4"/>
      <c r="I282" s="4"/>
      <c r="J282" s="4"/>
      <c r="K282" s="176"/>
      <c r="L282" s="176"/>
      <c r="M282" s="176"/>
      <c r="N282" s="176"/>
      <c r="O282" s="177"/>
      <c r="P282" s="176"/>
      <c r="X282" s="148"/>
      <c r="Y282" s="148"/>
      <c r="Z282" s="148"/>
    </row>
    <row r="283" spans="7:27" x14ac:dyDescent="0.2">
      <c r="G283" s="4"/>
      <c r="H283" s="4"/>
      <c r="I283" s="4"/>
      <c r="J283" s="4"/>
      <c r="K283" s="176"/>
      <c r="L283" s="176"/>
      <c r="M283" s="176"/>
      <c r="N283" s="176"/>
      <c r="O283" s="177"/>
      <c r="P283" s="176"/>
      <c r="X283" s="148"/>
      <c r="Y283" s="148"/>
      <c r="Z283" s="148"/>
    </row>
    <row r="284" spans="7:27" x14ac:dyDescent="0.2">
      <c r="G284" s="4"/>
      <c r="H284" s="4"/>
      <c r="I284" s="4"/>
      <c r="J284" s="4"/>
      <c r="K284" s="176"/>
      <c r="L284" s="176"/>
      <c r="M284" s="176"/>
      <c r="N284" s="176"/>
      <c r="O284" s="177"/>
      <c r="P284" s="176"/>
      <c r="X284" s="148"/>
      <c r="Y284" s="148"/>
      <c r="Z284" s="148"/>
      <c r="AA284" s="148"/>
    </row>
    <row r="285" spans="7:27" x14ac:dyDescent="0.2">
      <c r="G285" s="4"/>
      <c r="H285" s="4"/>
      <c r="I285" s="4"/>
      <c r="J285" s="4"/>
      <c r="K285" s="176"/>
      <c r="L285" s="176"/>
      <c r="M285" s="176"/>
      <c r="N285" s="176"/>
      <c r="O285" s="177"/>
      <c r="P285" s="176"/>
      <c r="X285" s="148"/>
      <c r="Y285" s="148"/>
      <c r="Z285" s="148"/>
      <c r="AA285" s="148"/>
    </row>
    <row r="286" spans="7:27" x14ac:dyDescent="0.2">
      <c r="G286" s="4"/>
      <c r="H286" s="4"/>
      <c r="I286" s="4"/>
      <c r="J286" s="4"/>
      <c r="K286" s="176"/>
      <c r="L286" s="176"/>
      <c r="M286" s="176"/>
      <c r="N286" s="176"/>
      <c r="O286" s="177"/>
      <c r="P286" s="176"/>
      <c r="X286" s="148"/>
      <c r="Y286" s="148"/>
      <c r="Z286" s="148"/>
      <c r="AA286" s="148"/>
    </row>
    <row r="287" spans="7:27" x14ac:dyDescent="0.2">
      <c r="G287" s="4"/>
      <c r="H287" s="4"/>
      <c r="I287" s="4"/>
      <c r="J287" s="4"/>
      <c r="K287" s="176"/>
      <c r="L287" s="176"/>
      <c r="M287" s="176"/>
      <c r="N287" s="176"/>
      <c r="O287" s="177"/>
      <c r="P287" s="176"/>
      <c r="X287" s="148"/>
      <c r="Y287" s="148"/>
      <c r="Z287" s="148"/>
      <c r="AA287" s="148"/>
    </row>
    <row r="288" spans="7:27" x14ac:dyDescent="0.2">
      <c r="G288" s="4"/>
      <c r="H288" s="4"/>
      <c r="I288" s="4"/>
      <c r="J288" s="4"/>
      <c r="K288" s="176"/>
      <c r="L288" s="176"/>
      <c r="M288" s="176"/>
      <c r="N288" s="176"/>
      <c r="O288" s="177"/>
      <c r="P288" s="176"/>
      <c r="X288" s="148"/>
      <c r="Y288" s="148"/>
      <c r="Z288" s="148"/>
      <c r="AA288" s="148"/>
    </row>
    <row r="289" spans="7:27" x14ac:dyDescent="0.2">
      <c r="G289" s="4"/>
      <c r="H289" s="4"/>
      <c r="I289" s="4"/>
      <c r="J289" s="4"/>
      <c r="K289" s="176"/>
      <c r="L289" s="176"/>
      <c r="M289" s="176"/>
      <c r="N289" s="176"/>
      <c r="O289" s="177"/>
      <c r="P289" s="176"/>
      <c r="X289" s="148"/>
      <c r="Y289" s="148"/>
      <c r="Z289" s="148"/>
      <c r="AA289" s="148"/>
    </row>
    <row r="290" spans="7:27" x14ac:dyDescent="0.2">
      <c r="G290" s="4"/>
      <c r="H290" s="4"/>
      <c r="I290" s="4"/>
      <c r="J290" s="4"/>
      <c r="K290" s="176"/>
      <c r="L290" s="176"/>
      <c r="M290" s="176"/>
      <c r="N290" s="176"/>
      <c r="O290" s="177"/>
      <c r="P290" s="176"/>
      <c r="X290" s="148"/>
      <c r="Y290" s="148"/>
      <c r="Z290" s="148"/>
      <c r="AA290" s="148"/>
    </row>
    <row r="291" spans="7:27" x14ac:dyDescent="0.2">
      <c r="G291" s="4"/>
      <c r="H291" s="4"/>
      <c r="I291" s="4"/>
      <c r="J291" s="4"/>
      <c r="K291" s="176"/>
      <c r="L291" s="176"/>
      <c r="M291" s="176"/>
      <c r="N291" s="176"/>
      <c r="O291" s="177"/>
      <c r="P291" s="176"/>
      <c r="X291" s="148"/>
      <c r="Y291" s="148"/>
      <c r="Z291" s="148"/>
      <c r="AA291" s="148"/>
    </row>
    <row r="292" spans="7:27" x14ac:dyDescent="0.2">
      <c r="G292" s="4"/>
      <c r="H292" s="4"/>
      <c r="I292" s="4"/>
      <c r="J292" s="4"/>
      <c r="K292" s="176"/>
      <c r="L292" s="176"/>
      <c r="M292" s="176"/>
      <c r="N292" s="176"/>
      <c r="O292" s="177"/>
      <c r="P292" s="176"/>
    </row>
    <row r="293" spans="7:27" x14ac:dyDescent="0.2">
      <c r="G293" s="4"/>
      <c r="H293" s="4"/>
      <c r="I293" s="4"/>
      <c r="J293" s="4"/>
      <c r="K293" s="176"/>
      <c r="L293" s="176"/>
      <c r="M293" s="176"/>
      <c r="N293" s="176"/>
      <c r="O293" s="177"/>
      <c r="P293" s="176"/>
    </row>
    <row r="294" spans="7:27" x14ac:dyDescent="0.2">
      <c r="G294" s="4"/>
      <c r="H294" s="4"/>
      <c r="I294" s="4"/>
      <c r="J294" s="4"/>
      <c r="K294" s="176"/>
      <c r="L294" s="176"/>
      <c r="M294" s="176"/>
      <c r="N294" s="176"/>
      <c r="O294" s="177"/>
      <c r="P294" s="176"/>
    </row>
    <row r="295" spans="7:27" x14ac:dyDescent="0.2">
      <c r="G295" s="4"/>
      <c r="H295" s="4"/>
      <c r="I295" s="4"/>
      <c r="J295" s="4"/>
      <c r="K295" s="176"/>
      <c r="L295" s="176"/>
      <c r="M295" s="176"/>
      <c r="N295" s="179"/>
      <c r="O295" s="179"/>
      <c r="P295" s="179"/>
    </row>
    <row r="296" spans="7:27" x14ac:dyDescent="0.2">
      <c r="G296" s="4"/>
      <c r="H296" s="4"/>
      <c r="I296" s="4"/>
      <c r="J296" s="4"/>
      <c r="K296" s="176"/>
      <c r="L296" s="176"/>
      <c r="M296" s="176"/>
      <c r="N296" s="176"/>
      <c r="O296" s="177"/>
      <c r="P296" s="176"/>
    </row>
    <row r="297" spans="7:27" x14ac:dyDescent="0.2">
      <c r="G297" s="4"/>
      <c r="H297" s="4"/>
      <c r="I297" s="4"/>
      <c r="J297" s="4"/>
      <c r="K297" s="176"/>
      <c r="L297" s="176"/>
      <c r="M297" s="176"/>
      <c r="N297" s="176"/>
      <c r="O297" s="177"/>
      <c r="P297" s="176"/>
    </row>
    <row r="298" spans="7:27" x14ac:dyDescent="0.2">
      <c r="G298" s="4"/>
      <c r="H298" s="4"/>
      <c r="I298" s="4"/>
      <c r="J298" s="4"/>
      <c r="K298" s="176"/>
      <c r="L298" s="176"/>
      <c r="M298" s="176"/>
      <c r="N298" s="176"/>
      <c r="O298" s="177"/>
      <c r="P298" s="176"/>
    </row>
    <row r="299" spans="7:27" x14ac:dyDescent="0.2">
      <c r="G299" s="4"/>
      <c r="H299" s="4"/>
      <c r="I299" s="4"/>
      <c r="J299" s="4"/>
      <c r="K299" s="176"/>
      <c r="L299" s="176"/>
      <c r="M299" s="176"/>
      <c r="N299" s="176"/>
      <c r="O299" s="177"/>
      <c r="P299" s="176"/>
    </row>
    <row r="300" spans="7:27" x14ac:dyDescent="0.2">
      <c r="G300" s="4"/>
      <c r="H300" s="4"/>
      <c r="I300" s="4"/>
      <c r="J300" s="4"/>
      <c r="K300" s="176"/>
      <c r="L300" s="176"/>
      <c r="M300" s="176"/>
      <c r="N300" s="176"/>
      <c r="O300" s="177"/>
      <c r="P300" s="176"/>
    </row>
    <row r="301" spans="7:27" x14ac:dyDescent="0.2">
      <c r="G301" s="4"/>
      <c r="H301" s="4"/>
      <c r="I301" s="4"/>
      <c r="J301" s="4"/>
      <c r="K301" s="176"/>
      <c r="L301" s="176"/>
      <c r="M301" s="176"/>
      <c r="N301" s="176"/>
      <c r="O301" s="177"/>
      <c r="P301" s="176"/>
    </row>
    <row r="302" spans="7:27" x14ac:dyDescent="0.2">
      <c r="G302" s="4"/>
      <c r="H302" s="4"/>
      <c r="I302" s="4"/>
      <c r="J302" s="4"/>
      <c r="K302" s="176"/>
      <c r="L302" s="176"/>
      <c r="M302" s="176"/>
      <c r="N302" s="176"/>
      <c r="O302" s="177"/>
      <c r="P302" s="176"/>
    </row>
    <row r="303" spans="7:27" x14ac:dyDescent="0.2">
      <c r="G303" s="4"/>
      <c r="H303" s="4"/>
      <c r="I303" s="4"/>
      <c r="J303" s="4"/>
      <c r="K303" s="176"/>
      <c r="L303" s="176"/>
      <c r="M303" s="176"/>
      <c r="N303" s="176"/>
      <c r="O303" s="177"/>
      <c r="P303" s="176"/>
    </row>
    <row r="304" spans="7:27" x14ac:dyDescent="0.2">
      <c r="G304" s="4"/>
      <c r="H304" s="4"/>
      <c r="I304" s="4"/>
      <c r="J304" s="4"/>
      <c r="K304" s="176"/>
      <c r="L304" s="176"/>
      <c r="M304" s="176"/>
      <c r="N304" s="176"/>
      <c r="O304" s="177"/>
      <c r="P304" s="176"/>
    </row>
    <row r="305" spans="7:16" x14ac:dyDescent="0.2">
      <c r="G305" s="4"/>
      <c r="H305" s="4"/>
      <c r="I305" s="4"/>
      <c r="J305" s="4"/>
      <c r="K305" s="176"/>
      <c r="L305" s="176"/>
      <c r="M305" s="176"/>
      <c r="N305" s="176"/>
      <c r="O305" s="177"/>
      <c r="P305" s="176"/>
    </row>
    <row r="306" spans="7:16" x14ac:dyDescent="0.2">
      <c r="G306" s="4"/>
      <c r="H306" s="4"/>
      <c r="I306" s="4"/>
      <c r="J306" s="4"/>
      <c r="K306" s="176"/>
      <c r="L306" s="176"/>
      <c r="M306" s="176"/>
      <c r="N306" s="176"/>
      <c r="O306" s="177"/>
      <c r="P306" s="176"/>
    </row>
    <row r="307" spans="7:16" x14ac:dyDescent="0.2">
      <c r="G307" s="4"/>
      <c r="H307" s="4"/>
      <c r="I307" s="4"/>
      <c r="J307" s="4"/>
      <c r="K307" s="176"/>
      <c r="L307" s="176"/>
      <c r="M307" s="176"/>
      <c r="N307" s="176"/>
      <c r="O307" s="177"/>
      <c r="P307" s="176"/>
    </row>
    <row r="308" spans="7:16" x14ac:dyDescent="0.2">
      <c r="G308" s="4"/>
      <c r="H308" s="4"/>
      <c r="I308" s="4"/>
      <c r="J308" s="4"/>
      <c r="K308" s="176"/>
      <c r="L308" s="176"/>
      <c r="M308" s="176"/>
      <c r="N308" s="176"/>
      <c r="O308" s="177"/>
      <c r="P308" s="176"/>
    </row>
    <row r="309" spans="7:16" x14ac:dyDescent="0.2">
      <c r="G309" s="4"/>
      <c r="H309" s="4"/>
      <c r="I309" s="4"/>
      <c r="J309" s="4"/>
      <c r="K309" s="176"/>
      <c r="L309" s="176"/>
      <c r="M309" s="176"/>
      <c r="N309" s="176"/>
      <c r="O309" s="177"/>
      <c r="P309" s="176"/>
    </row>
    <row r="310" spans="7:16" x14ac:dyDescent="0.2">
      <c r="G310" s="4"/>
      <c r="H310" s="4"/>
      <c r="I310" s="4"/>
      <c r="J310" s="4"/>
      <c r="K310" s="176"/>
      <c r="L310" s="176"/>
      <c r="M310" s="176"/>
      <c r="N310" s="176"/>
      <c r="O310" s="177"/>
      <c r="P310" s="176"/>
    </row>
    <row r="311" spans="7:16" x14ac:dyDescent="0.2">
      <c r="G311" s="4"/>
      <c r="H311" s="4"/>
      <c r="I311" s="4"/>
      <c r="J311" s="4"/>
      <c r="K311" s="176"/>
      <c r="L311" s="176"/>
      <c r="M311" s="176"/>
      <c r="N311" s="176"/>
      <c r="O311" s="177"/>
      <c r="P311" s="176"/>
    </row>
    <row r="312" spans="7:16" x14ac:dyDescent="0.2">
      <c r="G312" s="4"/>
      <c r="H312" s="4"/>
      <c r="I312" s="4"/>
      <c r="J312" s="4"/>
      <c r="K312" s="176"/>
      <c r="L312" s="176"/>
      <c r="M312" s="176"/>
      <c r="N312" s="176"/>
      <c r="O312" s="177"/>
      <c r="P312" s="176"/>
    </row>
    <row r="313" spans="7:16" x14ac:dyDescent="0.2">
      <c r="G313" s="4"/>
      <c r="H313" s="4"/>
      <c r="I313" s="4"/>
      <c r="J313" s="4"/>
      <c r="K313" s="176"/>
      <c r="L313" s="176"/>
      <c r="M313" s="176"/>
      <c r="N313" s="176"/>
      <c r="O313" s="177"/>
      <c r="P313" s="176"/>
    </row>
    <row r="314" spans="7:16" x14ac:dyDescent="0.2">
      <c r="G314" s="4"/>
      <c r="H314" s="4"/>
      <c r="I314" s="4"/>
      <c r="J314" s="4"/>
      <c r="K314" s="176"/>
      <c r="L314" s="176"/>
      <c r="M314" s="176"/>
      <c r="N314" s="176"/>
      <c r="O314" s="177"/>
      <c r="P314" s="176"/>
    </row>
    <row r="315" spans="7:16" x14ac:dyDescent="0.2">
      <c r="G315" s="4"/>
      <c r="H315" s="4"/>
      <c r="I315" s="4"/>
      <c r="J315" s="4"/>
      <c r="K315" s="176"/>
      <c r="L315" s="176"/>
      <c r="M315" s="176"/>
      <c r="N315" s="176"/>
      <c r="O315" s="177"/>
      <c r="P315" s="176"/>
    </row>
    <row r="316" spans="7:16" x14ac:dyDescent="0.2">
      <c r="G316" s="4"/>
      <c r="H316" s="4"/>
      <c r="I316" s="4"/>
      <c r="J316" s="4"/>
      <c r="K316" s="176"/>
      <c r="L316" s="176"/>
      <c r="M316" s="176"/>
      <c r="N316" s="176"/>
      <c r="O316" s="177"/>
      <c r="P316" s="176"/>
    </row>
    <row r="317" spans="7:16" x14ac:dyDescent="0.2">
      <c r="G317" s="4"/>
      <c r="H317" s="4"/>
      <c r="I317" s="4"/>
      <c r="J317" s="4"/>
      <c r="K317" s="176"/>
      <c r="L317" s="176"/>
      <c r="M317" s="176"/>
      <c r="N317" s="176"/>
      <c r="O317" s="177"/>
      <c r="P317" s="176"/>
    </row>
    <row r="318" spans="7:16" x14ac:dyDescent="0.2">
      <c r="G318" s="4"/>
      <c r="H318" s="4"/>
      <c r="I318" s="4"/>
      <c r="J318" s="4"/>
      <c r="K318" s="176"/>
      <c r="L318" s="176"/>
      <c r="M318" s="176"/>
      <c r="N318" s="176"/>
      <c r="O318" s="177"/>
      <c r="P318" s="176"/>
    </row>
    <row r="319" spans="7:16" x14ac:dyDescent="0.2">
      <c r="G319" s="4"/>
      <c r="H319" s="4"/>
      <c r="I319" s="4"/>
      <c r="J319" s="4"/>
      <c r="K319" s="176"/>
      <c r="L319" s="176"/>
      <c r="M319" s="176"/>
      <c r="N319" s="176"/>
      <c r="O319" s="177"/>
      <c r="P319" s="176"/>
    </row>
    <row r="320" spans="7:16" x14ac:dyDescent="0.2">
      <c r="G320" s="4"/>
      <c r="H320" s="4"/>
      <c r="I320" s="4"/>
      <c r="J320" s="4"/>
      <c r="K320" s="176"/>
      <c r="L320" s="176"/>
      <c r="M320" s="176"/>
      <c r="N320" s="176"/>
      <c r="O320" s="177"/>
      <c r="P320" s="176"/>
    </row>
    <row r="321" spans="7:16" x14ac:dyDescent="0.2">
      <c r="G321" s="4"/>
      <c r="H321" s="4"/>
      <c r="I321" s="4"/>
      <c r="J321" s="4"/>
      <c r="K321" s="176"/>
      <c r="L321" s="176"/>
      <c r="M321" s="176"/>
      <c r="N321" s="176"/>
      <c r="O321" s="177"/>
      <c r="P321" s="176"/>
    </row>
    <row r="322" spans="7:16" x14ac:dyDescent="0.2">
      <c r="G322" s="4"/>
      <c r="H322" s="4"/>
      <c r="I322" s="4"/>
      <c r="J322" s="4"/>
      <c r="K322" s="176"/>
      <c r="L322" s="176"/>
      <c r="M322" s="176"/>
      <c r="N322" s="176"/>
      <c r="O322" s="177"/>
      <c r="P322" s="176"/>
    </row>
    <row r="323" spans="7:16" x14ac:dyDescent="0.2">
      <c r="G323" s="4"/>
      <c r="H323" s="4"/>
      <c r="I323" s="4"/>
      <c r="J323" s="4"/>
      <c r="K323" s="176"/>
      <c r="L323" s="176"/>
      <c r="M323" s="176"/>
      <c r="N323" s="176"/>
      <c r="O323" s="177"/>
      <c r="P323" s="176"/>
    </row>
    <row r="324" spans="7:16" x14ac:dyDescent="0.2">
      <c r="G324" s="4"/>
      <c r="H324" s="4"/>
      <c r="I324" s="4"/>
      <c r="J324" s="4"/>
      <c r="K324" s="176"/>
      <c r="L324" s="176"/>
      <c r="M324" s="176"/>
      <c r="N324" s="176"/>
      <c r="O324" s="177"/>
      <c r="P324" s="176"/>
    </row>
    <row r="325" spans="7:16" x14ac:dyDescent="0.2">
      <c r="G325" s="4"/>
      <c r="H325" s="4"/>
      <c r="I325" s="4"/>
      <c r="J325" s="4"/>
      <c r="K325" s="176"/>
      <c r="L325" s="176"/>
      <c r="M325" s="176"/>
      <c r="N325" s="176"/>
      <c r="O325" s="177"/>
      <c r="P325" s="176"/>
    </row>
    <row r="326" spans="7:16" x14ac:dyDescent="0.2">
      <c r="G326" s="4"/>
      <c r="H326" s="4"/>
      <c r="I326" s="4"/>
      <c r="J326" s="4"/>
      <c r="K326" s="176"/>
      <c r="L326" s="176"/>
      <c r="M326" s="176"/>
      <c r="N326" s="176"/>
      <c r="O326" s="177"/>
      <c r="P326" s="176"/>
    </row>
    <row r="327" spans="7:16" x14ac:dyDescent="0.2">
      <c r="G327" s="4"/>
      <c r="H327" s="4"/>
      <c r="I327" s="4"/>
      <c r="J327" s="4"/>
      <c r="K327" s="176"/>
      <c r="L327" s="176"/>
      <c r="M327" s="176"/>
      <c r="N327" s="179"/>
      <c r="O327" s="179"/>
      <c r="P327" s="179"/>
    </row>
    <row r="328" spans="7:16" x14ac:dyDescent="0.2">
      <c r="G328" s="4"/>
      <c r="H328" s="4"/>
      <c r="I328" s="4"/>
      <c r="J328" s="4"/>
      <c r="K328" s="176"/>
      <c r="L328" s="176"/>
      <c r="M328" s="176"/>
      <c r="N328" s="176"/>
      <c r="O328" s="177"/>
      <c r="P328" s="176"/>
    </row>
    <row r="329" spans="7:16" x14ac:dyDescent="0.2">
      <c r="G329" s="4"/>
      <c r="H329" s="4"/>
      <c r="I329" s="4"/>
      <c r="J329" s="4"/>
      <c r="K329" s="176"/>
      <c r="L329" s="176"/>
      <c r="M329" s="176"/>
      <c r="N329" s="176"/>
      <c r="O329" s="177"/>
      <c r="P329" s="176"/>
    </row>
    <row r="330" spans="7:16" x14ac:dyDescent="0.2">
      <c r="G330" s="4"/>
      <c r="H330" s="4"/>
      <c r="I330" s="4"/>
      <c r="J330" s="4"/>
      <c r="K330" s="176"/>
      <c r="L330" s="176"/>
      <c r="M330" s="176"/>
      <c r="N330" s="176"/>
      <c r="O330" s="177"/>
      <c r="P330" s="176"/>
    </row>
    <row r="331" spans="7:16" x14ac:dyDescent="0.2">
      <c r="G331" s="4"/>
      <c r="H331" s="4"/>
      <c r="I331" s="4"/>
      <c r="J331" s="4"/>
      <c r="K331" s="176"/>
      <c r="L331" s="176"/>
      <c r="M331" s="176"/>
      <c r="N331" s="176"/>
      <c r="O331" s="177"/>
      <c r="P331" s="176"/>
    </row>
    <row r="332" spans="7:16" x14ac:dyDescent="0.2">
      <c r="G332" s="4"/>
      <c r="H332" s="4"/>
      <c r="I332" s="4"/>
      <c r="J332" s="4"/>
      <c r="K332" s="176"/>
      <c r="L332" s="176"/>
      <c r="M332" s="176"/>
      <c r="N332" s="176"/>
      <c r="O332" s="177"/>
      <c r="P332" s="176"/>
    </row>
    <row r="333" spans="7:16" x14ac:dyDescent="0.2">
      <c r="G333" s="4"/>
      <c r="H333" s="4"/>
      <c r="I333" s="4"/>
      <c r="J333" s="4"/>
      <c r="K333" s="176"/>
      <c r="L333" s="176"/>
      <c r="M333" s="176"/>
      <c r="N333" s="176"/>
      <c r="O333" s="177"/>
      <c r="P333" s="176"/>
    </row>
    <row r="334" spans="7:16" x14ac:dyDescent="0.2">
      <c r="G334" s="4"/>
      <c r="H334" s="4"/>
      <c r="I334" s="4"/>
      <c r="J334" s="4"/>
      <c r="K334" s="176"/>
      <c r="L334" s="176"/>
      <c r="M334" s="176"/>
      <c r="N334" s="176"/>
      <c r="O334" s="177"/>
      <c r="P334" s="176"/>
    </row>
    <row r="335" spans="7:16" x14ac:dyDescent="0.2">
      <c r="G335" s="4"/>
      <c r="H335" s="4"/>
      <c r="I335" s="4"/>
      <c r="J335" s="4"/>
      <c r="K335" s="176"/>
      <c r="L335" s="176"/>
      <c r="M335" s="176"/>
      <c r="N335" s="176"/>
      <c r="O335" s="177"/>
      <c r="P335" s="176"/>
    </row>
    <row r="336" spans="7:16" x14ac:dyDescent="0.2">
      <c r="G336" s="4"/>
      <c r="H336" s="4"/>
      <c r="I336" s="4"/>
      <c r="J336" s="4"/>
      <c r="K336" s="176"/>
      <c r="L336" s="176"/>
      <c r="M336" s="176"/>
      <c r="N336" s="176"/>
      <c r="O336" s="177"/>
      <c r="P336" s="176"/>
    </row>
    <row r="337" spans="7:16" x14ac:dyDescent="0.2">
      <c r="G337" s="4"/>
      <c r="H337" s="4"/>
      <c r="I337" s="4"/>
      <c r="J337" s="4"/>
      <c r="K337" s="176"/>
      <c r="L337" s="176"/>
      <c r="M337" s="176"/>
      <c r="N337" s="176"/>
      <c r="O337" s="177"/>
      <c r="P337" s="176"/>
    </row>
    <row r="338" spans="7:16" x14ac:dyDescent="0.2">
      <c r="G338" s="4"/>
      <c r="H338" s="4"/>
      <c r="I338" s="4"/>
      <c r="J338" s="4"/>
      <c r="K338" s="176"/>
      <c r="L338" s="176"/>
      <c r="M338" s="176"/>
      <c r="N338" s="176"/>
      <c r="O338" s="177"/>
      <c r="P338" s="176"/>
    </row>
    <row r="339" spans="7:16" x14ac:dyDescent="0.2">
      <c r="G339" s="4"/>
      <c r="H339" s="4"/>
      <c r="I339" s="4"/>
      <c r="J339" s="4"/>
      <c r="K339" s="176"/>
      <c r="L339" s="176"/>
      <c r="M339" s="176"/>
      <c r="N339" s="176"/>
      <c r="O339" s="177"/>
      <c r="P339" s="176"/>
    </row>
    <row r="340" spans="7:16" x14ac:dyDescent="0.2">
      <c r="G340" s="4"/>
      <c r="H340" s="4"/>
      <c r="I340" s="4"/>
      <c r="J340" s="4"/>
      <c r="K340" s="176"/>
      <c r="L340" s="176"/>
      <c r="M340" s="176"/>
      <c r="N340" s="176"/>
      <c r="O340" s="177"/>
      <c r="P340" s="176"/>
    </row>
    <row r="341" spans="7:16" x14ac:dyDescent="0.2">
      <c r="G341" s="4"/>
      <c r="H341" s="4"/>
      <c r="I341" s="4"/>
      <c r="J341" s="4"/>
      <c r="K341" s="176"/>
      <c r="L341" s="176"/>
      <c r="M341" s="176"/>
      <c r="N341" s="176"/>
      <c r="O341" s="177"/>
      <c r="P341" s="176"/>
    </row>
    <row r="342" spans="7:16" x14ac:dyDescent="0.2">
      <c r="G342" s="4"/>
      <c r="H342" s="4"/>
      <c r="I342" s="4"/>
      <c r="J342" s="4"/>
      <c r="K342" s="176"/>
      <c r="L342" s="176"/>
      <c r="M342" s="176"/>
      <c r="N342" s="176"/>
      <c r="O342" s="177"/>
      <c r="P342" s="176"/>
    </row>
    <row r="343" spans="7:16" x14ac:dyDescent="0.2">
      <c r="G343" s="4"/>
      <c r="H343" s="4"/>
      <c r="I343" s="4"/>
      <c r="J343" s="4"/>
      <c r="K343" s="176"/>
      <c r="L343" s="176"/>
      <c r="M343" s="176"/>
      <c r="N343" s="176"/>
      <c r="O343" s="177"/>
      <c r="P343" s="176"/>
    </row>
    <row r="344" spans="7:16" x14ac:dyDescent="0.2">
      <c r="G344" s="4"/>
      <c r="H344" s="4"/>
      <c r="I344" s="4"/>
      <c r="J344" s="4"/>
      <c r="K344" s="176"/>
      <c r="L344" s="176"/>
      <c r="M344" s="176"/>
      <c r="N344" s="176"/>
      <c r="O344" s="177"/>
      <c r="P344" s="176"/>
    </row>
    <row r="345" spans="7:16" x14ac:dyDescent="0.2">
      <c r="G345" s="4"/>
      <c r="H345" s="4"/>
      <c r="I345" s="4"/>
      <c r="J345" s="4"/>
      <c r="K345" s="176"/>
      <c r="L345" s="176"/>
      <c r="M345" s="176"/>
      <c r="N345" s="176"/>
      <c r="O345" s="177"/>
      <c r="P345" s="176"/>
    </row>
    <row r="346" spans="7:16" x14ac:dyDescent="0.2">
      <c r="G346" s="4"/>
      <c r="H346" s="4"/>
      <c r="I346" s="4"/>
      <c r="J346" s="4"/>
      <c r="K346" s="176"/>
      <c r="L346" s="176"/>
      <c r="M346" s="176"/>
      <c r="N346" s="176"/>
      <c r="O346" s="177"/>
      <c r="P346" s="176"/>
    </row>
    <row r="347" spans="7:16" x14ac:dyDescent="0.2">
      <c r="G347" s="4"/>
      <c r="H347" s="4"/>
      <c r="I347" s="4"/>
      <c r="J347" s="4"/>
      <c r="K347" s="176"/>
      <c r="L347" s="176"/>
      <c r="M347" s="176"/>
      <c r="N347" s="176"/>
      <c r="O347" s="177"/>
      <c r="P347" s="176"/>
    </row>
    <row r="348" spans="7:16" x14ac:dyDescent="0.2">
      <c r="G348" s="4"/>
      <c r="H348" s="4"/>
      <c r="I348" s="4"/>
      <c r="J348" s="4"/>
      <c r="K348" s="176"/>
      <c r="L348" s="176"/>
      <c r="M348" s="176"/>
      <c r="N348" s="176"/>
      <c r="O348" s="177"/>
      <c r="P348" s="176"/>
    </row>
    <row r="349" spans="7:16" x14ac:dyDescent="0.2">
      <c r="G349" s="4"/>
      <c r="H349" s="4"/>
      <c r="I349" s="4"/>
      <c r="J349" s="4"/>
      <c r="K349" s="176"/>
      <c r="L349" s="176"/>
      <c r="M349" s="176"/>
      <c r="N349" s="176"/>
      <c r="O349" s="177"/>
      <c r="P349" s="176"/>
    </row>
    <row r="350" spans="7:16" x14ac:dyDescent="0.2">
      <c r="G350" s="4"/>
      <c r="H350" s="4"/>
      <c r="I350" s="4"/>
      <c r="J350" s="4"/>
      <c r="K350" s="176"/>
      <c r="L350" s="176"/>
      <c r="M350" s="176"/>
      <c r="N350" s="176"/>
      <c r="O350" s="177"/>
      <c r="P350" s="176"/>
    </row>
    <row r="351" spans="7:16" x14ac:dyDescent="0.2">
      <c r="G351" s="4"/>
      <c r="H351" s="4"/>
      <c r="I351" s="4"/>
      <c r="J351" s="4"/>
      <c r="K351" s="176"/>
      <c r="L351" s="176"/>
      <c r="M351" s="176"/>
      <c r="N351" s="176"/>
      <c r="O351" s="177"/>
      <c r="P351" s="176"/>
    </row>
    <row r="352" spans="7:16" x14ac:dyDescent="0.2">
      <c r="G352" s="4"/>
      <c r="H352" s="4"/>
      <c r="I352" s="4"/>
      <c r="J352" s="4"/>
      <c r="K352" s="176"/>
      <c r="L352" s="176"/>
      <c r="M352" s="176"/>
      <c r="N352" s="176"/>
      <c r="O352" s="177"/>
      <c r="P352" s="176"/>
    </row>
    <row r="353" spans="7:16" x14ac:dyDescent="0.2">
      <c r="G353" s="4"/>
      <c r="H353" s="4"/>
      <c r="I353" s="4"/>
      <c r="J353" s="4"/>
      <c r="K353" s="176"/>
      <c r="L353" s="176"/>
      <c r="M353" s="176"/>
      <c r="N353" s="179"/>
      <c r="O353" s="179"/>
      <c r="P353" s="179"/>
    </row>
    <row r="354" spans="7:16" x14ac:dyDescent="0.2">
      <c r="G354" s="4"/>
      <c r="H354" s="4"/>
      <c r="I354" s="4"/>
      <c r="J354" s="4"/>
      <c r="K354" s="176"/>
      <c r="L354" s="176"/>
      <c r="M354" s="176"/>
      <c r="N354" s="176"/>
      <c r="O354" s="177"/>
      <c r="P354" s="176"/>
    </row>
    <row r="355" spans="7:16" x14ac:dyDescent="0.2">
      <c r="G355" s="4"/>
      <c r="H355" s="4"/>
      <c r="I355" s="4"/>
      <c r="J355" s="4"/>
      <c r="K355" s="176"/>
      <c r="L355" s="176"/>
      <c r="M355" s="176"/>
      <c r="N355" s="176"/>
      <c r="O355" s="177"/>
      <c r="P355" s="176"/>
    </row>
    <row r="356" spans="7:16" x14ac:dyDescent="0.2">
      <c r="G356" s="4"/>
      <c r="H356" s="4"/>
      <c r="I356" s="4"/>
      <c r="J356" s="4"/>
      <c r="K356" s="176"/>
      <c r="L356" s="176"/>
      <c r="M356" s="176"/>
      <c r="N356" s="176"/>
      <c r="O356" s="177"/>
      <c r="P356" s="176"/>
    </row>
    <row r="357" spans="7:16" x14ac:dyDescent="0.2">
      <c r="G357" s="4"/>
      <c r="H357" s="4"/>
      <c r="I357" s="4"/>
      <c r="J357" s="4"/>
      <c r="K357" s="176"/>
      <c r="L357" s="176"/>
      <c r="M357" s="176"/>
      <c r="N357" s="176"/>
      <c r="O357" s="177"/>
      <c r="P357" s="176"/>
    </row>
    <row r="358" spans="7:16" x14ac:dyDescent="0.2">
      <c r="G358" s="4"/>
      <c r="H358" s="4"/>
      <c r="I358" s="4"/>
      <c r="J358" s="4"/>
      <c r="K358" s="176"/>
      <c r="L358" s="176"/>
      <c r="M358" s="176"/>
      <c r="N358" s="176"/>
      <c r="O358" s="177"/>
      <c r="P358" s="176"/>
    </row>
    <row r="359" spans="7:16" x14ac:dyDescent="0.2">
      <c r="G359" s="4"/>
      <c r="H359" s="4"/>
      <c r="I359" s="4"/>
      <c r="J359" s="4"/>
      <c r="K359" s="176"/>
      <c r="L359" s="176"/>
      <c r="M359" s="176"/>
      <c r="N359" s="176"/>
      <c r="O359" s="177"/>
      <c r="P359" s="176"/>
    </row>
    <row r="360" spans="7:16" x14ac:dyDescent="0.2">
      <c r="G360" s="4"/>
      <c r="H360" s="4"/>
      <c r="I360" s="4"/>
      <c r="J360" s="4"/>
      <c r="K360" s="176"/>
      <c r="L360" s="176"/>
      <c r="M360" s="176"/>
      <c r="N360" s="176"/>
      <c r="O360" s="177"/>
      <c r="P360" s="176"/>
    </row>
    <row r="361" spans="7:16" x14ac:dyDescent="0.2">
      <c r="G361" s="4"/>
      <c r="H361" s="4"/>
      <c r="I361" s="4"/>
      <c r="J361" s="4"/>
      <c r="K361" s="176"/>
      <c r="L361" s="176"/>
      <c r="M361" s="176"/>
      <c r="N361" s="176"/>
      <c r="O361" s="177"/>
      <c r="P361" s="176"/>
    </row>
    <row r="362" spans="7:16" x14ac:dyDescent="0.2">
      <c r="G362" s="4"/>
      <c r="H362" s="4"/>
      <c r="I362" s="4"/>
      <c r="J362" s="4"/>
      <c r="K362" s="176"/>
      <c r="L362" s="176"/>
      <c r="M362" s="176"/>
      <c r="N362" s="176"/>
      <c r="O362" s="177"/>
      <c r="P362" s="176"/>
    </row>
    <row r="363" spans="7:16" x14ac:dyDescent="0.2">
      <c r="G363" s="4"/>
      <c r="H363" s="4"/>
      <c r="I363" s="4"/>
      <c r="J363" s="4"/>
      <c r="K363" s="176"/>
      <c r="L363" s="176"/>
      <c r="M363" s="176"/>
      <c r="N363" s="176"/>
      <c r="O363" s="177"/>
      <c r="P363" s="176"/>
    </row>
    <row r="364" spans="7:16" x14ac:dyDescent="0.2">
      <c r="G364" s="4"/>
      <c r="H364" s="4"/>
      <c r="I364" s="4"/>
      <c r="J364" s="4"/>
      <c r="K364" s="176"/>
      <c r="L364" s="176"/>
      <c r="M364" s="176"/>
      <c r="N364" s="176"/>
      <c r="O364" s="177"/>
      <c r="P364" s="176"/>
    </row>
    <row r="365" spans="7:16" x14ac:dyDescent="0.2">
      <c r="G365" s="4"/>
      <c r="H365" s="4"/>
      <c r="I365" s="4"/>
      <c r="J365" s="4"/>
      <c r="K365" s="176"/>
      <c r="L365" s="176"/>
      <c r="M365" s="176"/>
      <c r="N365" s="176"/>
      <c r="O365" s="177"/>
      <c r="P365" s="176"/>
    </row>
    <row r="366" spans="7:16" x14ac:dyDescent="0.2">
      <c r="G366" s="4"/>
      <c r="H366" s="4"/>
      <c r="I366" s="4"/>
      <c r="J366" s="4"/>
      <c r="K366" s="176"/>
      <c r="L366" s="176"/>
      <c r="M366" s="176"/>
      <c r="N366" s="176"/>
      <c r="O366" s="177"/>
      <c r="P366" s="176"/>
    </row>
    <row r="367" spans="7:16" x14ac:dyDescent="0.2">
      <c r="G367" s="4"/>
      <c r="H367" s="4"/>
      <c r="I367" s="4"/>
      <c r="J367" s="4"/>
      <c r="K367" s="176"/>
      <c r="L367" s="176"/>
      <c r="M367" s="176"/>
      <c r="N367" s="176"/>
      <c r="O367" s="177"/>
      <c r="P367" s="176"/>
    </row>
    <row r="368" spans="7:16" x14ac:dyDescent="0.2">
      <c r="G368" s="4"/>
      <c r="H368" s="4"/>
      <c r="I368" s="4"/>
      <c r="J368" s="4"/>
      <c r="K368" s="176"/>
      <c r="L368" s="176"/>
      <c r="M368" s="176"/>
      <c r="N368" s="176"/>
      <c r="O368" s="177"/>
      <c r="P368" s="176"/>
    </row>
    <row r="369" spans="7:16" x14ac:dyDescent="0.2">
      <c r="G369" s="4"/>
      <c r="H369" s="4"/>
      <c r="I369" s="4"/>
      <c r="J369" s="4"/>
      <c r="K369" s="176"/>
      <c r="L369" s="176"/>
      <c r="M369" s="176"/>
      <c r="N369" s="176"/>
      <c r="O369" s="177"/>
      <c r="P369" s="176"/>
    </row>
    <row r="370" spans="7:16" x14ac:dyDescent="0.2">
      <c r="G370" s="4"/>
      <c r="H370" s="4"/>
      <c r="I370" s="4"/>
      <c r="J370" s="4"/>
      <c r="K370" s="176"/>
      <c r="L370" s="176"/>
      <c r="M370" s="176"/>
      <c r="N370" s="176"/>
      <c r="O370" s="177"/>
      <c r="P370" s="176"/>
    </row>
    <row r="371" spans="7:16" x14ac:dyDescent="0.2">
      <c r="G371" s="4"/>
      <c r="H371" s="4"/>
      <c r="I371" s="4"/>
      <c r="J371" s="4"/>
      <c r="K371" s="176"/>
      <c r="L371" s="176"/>
      <c r="M371" s="176"/>
      <c r="N371" s="176"/>
      <c r="O371" s="177"/>
      <c r="P371" s="176"/>
    </row>
    <row r="372" spans="7:16" x14ac:dyDescent="0.2">
      <c r="G372" s="4"/>
      <c r="H372" s="4"/>
      <c r="I372" s="4"/>
      <c r="J372" s="4"/>
      <c r="K372" s="176"/>
      <c r="L372" s="176"/>
      <c r="M372" s="176"/>
      <c r="N372" s="176"/>
      <c r="O372" s="177"/>
      <c r="P372" s="176"/>
    </row>
    <row r="373" spans="7:16" x14ac:dyDescent="0.2">
      <c r="G373" s="4"/>
      <c r="H373" s="4"/>
      <c r="I373" s="4"/>
      <c r="J373" s="4"/>
      <c r="K373" s="176"/>
      <c r="L373" s="176"/>
      <c r="M373" s="176"/>
      <c r="N373" s="176"/>
      <c r="O373" s="177"/>
      <c r="P373" s="176"/>
    </row>
    <row r="374" spans="7:16" x14ac:dyDescent="0.2">
      <c r="G374" s="4"/>
      <c r="H374" s="4"/>
      <c r="I374" s="4"/>
      <c r="J374" s="4"/>
      <c r="K374" s="176"/>
      <c r="L374" s="176"/>
      <c r="M374" s="176"/>
      <c r="N374" s="176"/>
      <c r="O374" s="177"/>
      <c r="P374" s="176"/>
    </row>
    <row r="375" spans="7:16" x14ac:dyDescent="0.2">
      <c r="G375" s="4"/>
      <c r="H375" s="4"/>
      <c r="I375" s="4"/>
      <c r="J375" s="4"/>
      <c r="K375" s="176"/>
      <c r="L375" s="176"/>
      <c r="M375" s="176"/>
      <c r="N375" s="176"/>
      <c r="O375" s="177"/>
      <c r="P375" s="176"/>
    </row>
    <row r="376" spans="7:16" x14ac:dyDescent="0.2">
      <c r="G376" s="4"/>
      <c r="H376" s="4"/>
      <c r="I376" s="4"/>
      <c r="J376" s="4"/>
      <c r="K376" s="176"/>
      <c r="L376" s="176"/>
      <c r="M376" s="176"/>
      <c r="N376" s="176"/>
      <c r="O376" s="177"/>
      <c r="P376" s="176"/>
    </row>
    <row r="377" spans="7:16" x14ac:dyDescent="0.2">
      <c r="G377" s="4"/>
      <c r="H377" s="4"/>
      <c r="I377" s="4"/>
      <c r="J377" s="4"/>
      <c r="K377" s="176"/>
      <c r="L377" s="176"/>
      <c r="M377" s="176"/>
      <c r="N377" s="176"/>
      <c r="O377" s="177"/>
      <c r="P377" s="176"/>
    </row>
    <row r="378" spans="7:16" x14ac:dyDescent="0.2">
      <c r="G378" s="4"/>
      <c r="H378" s="4"/>
      <c r="I378" s="4"/>
      <c r="J378" s="4"/>
      <c r="K378" s="176"/>
      <c r="L378" s="176"/>
      <c r="M378" s="176"/>
      <c r="N378" s="176"/>
      <c r="O378" s="177"/>
      <c r="P378" s="176"/>
    </row>
    <row r="379" spans="7:16" x14ac:dyDescent="0.2">
      <c r="G379" s="4"/>
      <c r="H379" s="4"/>
      <c r="I379" s="4"/>
      <c r="J379" s="4"/>
      <c r="K379" s="176"/>
      <c r="L379" s="176"/>
      <c r="M379" s="176"/>
      <c r="N379" s="176"/>
      <c r="O379" s="177"/>
      <c r="P379" s="176"/>
    </row>
    <row r="380" spans="7:16" x14ac:dyDescent="0.2">
      <c r="G380" s="4"/>
      <c r="H380" s="4"/>
      <c r="I380" s="4"/>
      <c r="J380" s="4"/>
      <c r="K380" s="176"/>
      <c r="L380" s="176"/>
      <c r="M380" s="176"/>
      <c r="N380" s="176"/>
      <c r="O380" s="177"/>
      <c r="P380" s="176"/>
    </row>
    <row r="381" spans="7:16" x14ac:dyDescent="0.2">
      <c r="G381" s="4"/>
      <c r="H381" s="4"/>
      <c r="I381" s="4"/>
      <c r="J381" s="4"/>
      <c r="K381" s="176"/>
      <c r="L381" s="176"/>
      <c r="M381" s="176"/>
      <c r="N381" s="179"/>
      <c r="O381" s="179"/>
      <c r="P381" s="179"/>
    </row>
    <row r="382" spans="7:16" x14ac:dyDescent="0.2">
      <c r="G382" s="4"/>
      <c r="H382" s="4"/>
      <c r="I382" s="4"/>
      <c r="J382" s="4"/>
      <c r="K382" s="176"/>
      <c r="L382" s="176"/>
      <c r="M382" s="176"/>
      <c r="N382" s="176"/>
      <c r="O382" s="177"/>
      <c r="P382" s="176"/>
    </row>
    <row r="383" spans="7:16" x14ac:dyDescent="0.2">
      <c r="G383" s="4"/>
      <c r="H383" s="4"/>
      <c r="I383" s="4"/>
      <c r="J383" s="4"/>
      <c r="K383" s="176"/>
      <c r="L383" s="176"/>
      <c r="M383" s="176"/>
      <c r="N383" s="176"/>
      <c r="O383" s="177"/>
      <c r="P383" s="176"/>
    </row>
    <row r="384" spans="7:16" x14ac:dyDescent="0.2">
      <c r="G384" s="4"/>
      <c r="H384" s="4"/>
      <c r="I384" s="4"/>
      <c r="J384" s="4"/>
      <c r="K384" s="176"/>
      <c r="L384" s="176"/>
      <c r="M384" s="176"/>
      <c r="N384" s="176"/>
      <c r="O384" s="177"/>
      <c r="P384" s="176"/>
    </row>
    <row r="385" spans="7:16" x14ac:dyDescent="0.2">
      <c r="G385" s="4"/>
      <c r="H385" s="4"/>
      <c r="I385" s="4"/>
      <c r="J385" s="4"/>
      <c r="K385" s="176"/>
      <c r="L385" s="176"/>
      <c r="M385" s="176"/>
      <c r="N385" s="176"/>
      <c r="O385" s="177"/>
      <c r="P385" s="176"/>
    </row>
    <row r="386" spans="7:16" x14ac:dyDescent="0.2">
      <c r="G386" s="4"/>
      <c r="H386" s="4"/>
      <c r="I386" s="4"/>
      <c r="J386" s="4"/>
      <c r="K386" s="176"/>
      <c r="L386" s="176"/>
      <c r="M386" s="176"/>
      <c r="N386" s="176"/>
      <c r="O386" s="177"/>
      <c r="P386" s="176"/>
    </row>
    <row r="387" spans="7:16" x14ac:dyDescent="0.2">
      <c r="G387" s="4"/>
      <c r="H387" s="4"/>
      <c r="I387" s="4"/>
      <c r="J387" s="4"/>
      <c r="K387" s="176"/>
      <c r="L387" s="176"/>
      <c r="M387" s="176"/>
      <c r="N387" s="176"/>
      <c r="O387" s="177"/>
      <c r="P387" s="176"/>
    </row>
    <row r="388" spans="7:16" x14ac:dyDescent="0.2">
      <c r="G388" s="4"/>
      <c r="H388" s="4"/>
      <c r="I388" s="4"/>
      <c r="J388" s="4"/>
      <c r="K388" s="176"/>
      <c r="L388" s="176"/>
      <c r="M388" s="176"/>
      <c r="N388" s="176"/>
      <c r="O388" s="177"/>
      <c r="P388" s="176"/>
    </row>
    <row r="389" spans="7:16" x14ac:dyDescent="0.2">
      <c r="G389" s="4"/>
      <c r="H389" s="4"/>
      <c r="I389" s="4"/>
      <c r="J389" s="4"/>
      <c r="K389" s="176"/>
      <c r="L389" s="176"/>
      <c r="M389" s="176"/>
      <c r="N389" s="176"/>
      <c r="O389" s="177"/>
      <c r="P389" s="176"/>
    </row>
    <row r="390" spans="7:16" x14ac:dyDescent="0.2">
      <c r="G390" s="4"/>
      <c r="H390" s="4"/>
      <c r="I390" s="4"/>
      <c r="J390" s="4"/>
      <c r="K390" s="176"/>
      <c r="L390" s="176"/>
      <c r="M390" s="176"/>
      <c r="N390" s="176"/>
      <c r="O390" s="177"/>
      <c r="P390" s="176"/>
    </row>
    <row r="391" spans="7:16" x14ac:dyDescent="0.2">
      <c r="G391" s="4"/>
      <c r="H391" s="4"/>
      <c r="I391" s="4"/>
      <c r="J391" s="4"/>
      <c r="K391" s="176"/>
      <c r="L391" s="176"/>
      <c r="M391" s="176"/>
      <c r="N391" s="176"/>
      <c r="O391" s="177"/>
      <c r="P391" s="176"/>
    </row>
    <row r="392" spans="7:16" x14ac:dyDescent="0.2">
      <c r="G392" s="4"/>
      <c r="H392" s="4"/>
      <c r="I392" s="4"/>
      <c r="J392" s="4"/>
      <c r="K392" s="176"/>
      <c r="L392" s="176"/>
      <c r="M392" s="176"/>
      <c r="N392" s="176"/>
      <c r="O392" s="177"/>
      <c r="P392" s="176"/>
    </row>
    <row r="393" spans="7:16" x14ac:dyDescent="0.2">
      <c r="G393" s="4"/>
      <c r="H393" s="4"/>
      <c r="I393" s="4"/>
      <c r="J393" s="4"/>
      <c r="K393" s="176"/>
      <c r="L393" s="176"/>
      <c r="M393" s="176"/>
      <c r="N393" s="176"/>
      <c r="O393" s="177"/>
      <c r="P393" s="176"/>
    </row>
    <row r="394" spans="7:16" x14ac:dyDescent="0.2">
      <c r="G394" s="4"/>
      <c r="H394" s="4"/>
      <c r="I394" s="4"/>
      <c r="J394" s="4"/>
      <c r="K394" s="176"/>
      <c r="L394" s="176"/>
      <c r="M394" s="176"/>
      <c r="N394" s="176"/>
      <c r="O394" s="177"/>
      <c r="P394" s="176"/>
    </row>
    <row r="395" spans="7:16" x14ac:dyDescent="0.2">
      <c r="G395" s="4"/>
      <c r="H395" s="4"/>
      <c r="I395" s="4"/>
      <c r="J395" s="4"/>
      <c r="K395" s="176"/>
      <c r="L395" s="176"/>
      <c r="M395" s="176"/>
      <c r="N395" s="176"/>
      <c r="O395" s="177"/>
      <c r="P395" s="176"/>
    </row>
    <row r="396" spans="7:16" x14ac:dyDescent="0.2">
      <c r="G396" s="4"/>
      <c r="H396" s="4"/>
      <c r="I396" s="4"/>
      <c r="J396" s="4"/>
      <c r="K396" s="176"/>
      <c r="L396" s="176"/>
      <c r="M396" s="176"/>
      <c r="N396" s="176"/>
      <c r="O396" s="177"/>
      <c r="P396" s="176"/>
    </row>
    <row r="397" spans="7:16" x14ac:dyDescent="0.2">
      <c r="G397" s="4"/>
      <c r="H397" s="4"/>
      <c r="I397" s="4"/>
      <c r="J397" s="4"/>
      <c r="K397" s="176"/>
      <c r="L397" s="176"/>
      <c r="M397" s="176"/>
      <c r="N397" s="176"/>
      <c r="O397" s="177"/>
      <c r="P397" s="176"/>
    </row>
    <row r="398" spans="7:16" x14ac:dyDescent="0.2">
      <c r="G398" s="4"/>
      <c r="H398" s="4"/>
      <c r="I398" s="4"/>
      <c r="J398" s="4"/>
      <c r="K398" s="176"/>
      <c r="L398" s="176"/>
      <c r="M398" s="176"/>
      <c r="N398" s="176"/>
      <c r="O398" s="177"/>
      <c r="P398" s="176"/>
    </row>
    <row r="399" spans="7:16" x14ac:dyDescent="0.2">
      <c r="G399" s="4"/>
      <c r="H399" s="4"/>
      <c r="I399" s="4"/>
      <c r="J399" s="4"/>
      <c r="K399" s="176"/>
      <c r="L399" s="176"/>
      <c r="M399" s="176"/>
      <c r="N399" s="176"/>
      <c r="O399" s="177"/>
      <c r="P399" s="176"/>
    </row>
    <row r="400" spans="7:16" x14ac:dyDescent="0.2">
      <c r="G400" s="4"/>
      <c r="H400" s="4"/>
      <c r="I400" s="4"/>
      <c r="J400" s="4"/>
      <c r="K400" s="176"/>
      <c r="L400" s="176"/>
      <c r="M400" s="176"/>
      <c r="N400" s="176"/>
      <c r="O400" s="177"/>
      <c r="P400" s="176"/>
    </row>
    <row r="401" spans="7:16" x14ac:dyDescent="0.2">
      <c r="G401" s="4"/>
      <c r="H401" s="4"/>
      <c r="I401" s="4"/>
      <c r="J401" s="4"/>
      <c r="K401" s="176"/>
      <c r="L401" s="176"/>
      <c r="M401" s="176"/>
      <c r="N401" s="176"/>
      <c r="O401" s="177"/>
      <c r="P401" s="176"/>
    </row>
    <row r="402" spans="7:16" x14ac:dyDescent="0.2">
      <c r="G402" s="4"/>
      <c r="H402" s="4"/>
      <c r="I402" s="4"/>
      <c r="J402" s="4"/>
      <c r="K402" s="176"/>
      <c r="L402" s="176"/>
      <c r="M402" s="176"/>
      <c r="N402" s="176"/>
      <c r="O402" s="177"/>
      <c r="P402" s="176"/>
    </row>
    <row r="403" spans="7:16" x14ac:dyDescent="0.2">
      <c r="G403" s="4"/>
      <c r="H403" s="4"/>
      <c r="I403" s="4"/>
      <c r="J403" s="4"/>
      <c r="K403" s="176"/>
      <c r="L403" s="176"/>
      <c r="M403" s="176"/>
      <c r="N403" s="176"/>
      <c r="O403" s="177"/>
      <c r="P403" s="176"/>
    </row>
    <row r="404" spans="7:16" x14ac:dyDescent="0.2">
      <c r="G404" s="4"/>
      <c r="H404" s="4"/>
      <c r="I404" s="4"/>
      <c r="J404" s="4"/>
      <c r="K404" s="176"/>
      <c r="L404" s="176"/>
      <c r="M404" s="176"/>
      <c r="N404" s="176"/>
      <c r="O404" s="177"/>
      <c r="P404" s="176"/>
    </row>
    <row r="405" spans="7:16" x14ac:dyDescent="0.2">
      <c r="G405" s="4"/>
      <c r="H405" s="4"/>
      <c r="I405" s="4"/>
      <c r="J405" s="4"/>
      <c r="K405" s="176"/>
      <c r="L405" s="176"/>
      <c r="M405" s="176"/>
      <c r="N405" s="176"/>
      <c r="O405" s="177"/>
      <c r="P405" s="176"/>
    </row>
    <row r="406" spans="7:16" x14ac:dyDescent="0.2">
      <c r="G406" s="4"/>
      <c r="H406" s="4"/>
      <c r="I406" s="4"/>
      <c r="J406" s="4"/>
      <c r="K406" s="176"/>
      <c r="L406" s="176"/>
      <c r="M406" s="176"/>
      <c r="N406" s="176"/>
      <c r="O406" s="177"/>
      <c r="P406" s="176"/>
    </row>
    <row r="407" spans="7:16" x14ac:dyDescent="0.2">
      <c r="G407" s="57"/>
      <c r="H407" s="57"/>
      <c r="I407" s="57"/>
      <c r="J407" s="57"/>
      <c r="K407" s="174"/>
      <c r="L407" s="174"/>
      <c r="M407" s="180"/>
      <c r="N407" s="180"/>
      <c r="O407" s="180"/>
      <c r="P407" s="180"/>
    </row>
    <row r="408" spans="7:16" x14ac:dyDescent="0.2">
      <c r="G408" s="57"/>
      <c r="H408" s="57"/>
      <c r="I408" s="57"/>
      <c r="J408" s="57"/>
      <c r="K408" s="174"/>
      <c r="L408" s="174"/>
      <c r="M408" s="180"/>
      <c r="N408" s="180"/>
      <c r="O408" s="180"/>
      <c r="P408" s="180"/>
    </row>
    <row r="409" spans="7:16" x14ac:dyDescent="0.2">
      <c r="G409" s="57"/>
      <c r="H409" s="57"/>
      <c r="I409" s="57"/>
      <c r="J409" s="57"/>
      <c r="K409" s="57"/>
      <c r="L409" s="57"/>
    </row>
    <row r="410" spans="7:16" x14ac:dyDescent="0.2">
      <c r="G410" s="57"/>
      <c r="H410" s="57"/>
      <c r="I410" s="57"/>
      <c r="J410" s="57"/>
      <c r="K410" s="57"/>
      <c r="L410" s="57"/>
    </row>
    <row r="411" spans="7:16" x14ac:dyDescent="0.2">
      <c r="G411" s="57"/>
      <c r="H411" s="57"/>
      <c r="I411" s="57"/>
      <c r="J411" s="57"/>
      <c r="K411" s="57"/>
      <c r="L411" s="57"/>
    </row>
    <row r="412" spans="7:16" x14ac:dyDescent="0.2">
      <c r="G412" s="57"/>
      <c r="H412" s="57"/>
      <c r="I412" s="57"/>
      <c r="J412" s="57"/>
      <c r="K412" s="57"/>
      <c r="L412" s="57"/>
    </row>
    <row r="413" spans="7:16" x14ac:dyDescent="0.2">
      <c r="G413" s="57"/>
      <c r="H413" s="57"/>
      <c r="I413" s="57"/>
      <c r="J413" s="57"/>
      <c r="K413" s="57"/>
      <c r="L413" s="57"/>
    </row>
    <row r="414" spans="7:16" x14ac:dyDescent="0.2">
      <c r="G414" s="57"/>
      <c r="H414" s="57"/>
      <c r="I414" s="57"/>
      <c r="J414" s="57"/>
      <c r="K414" s="57"/>
      <c r="L414" s="57"/>
    </row>
    <row r="415" spans="7:16" x14ac:dyDescent="0.2">
      <c r="G415" s="57"/>
      <c r="H415" s="57"/>
      <c r="I415" s="57"/>
      <c r="J415" s="57"/>
      <c r="K415" s="57"/>
      <c r="L415" s="57"/>
    </row>
  </sheetData>
  <mergeCells count="4">
    <mergeCell ref="H4:I4"/>
    <mergeCell ref="K4:L4"/>
    <mergeCell ref="Y6:AA6"/>
    <mergeCell ref="Y26:AA26"/>
  </mergeCells>
  <pageMargins left="0.75" right="0.75" top="1" bottom="1" header="0.5" footer="0.5"/>
  <pageSetup paperSize="9" orientation="portrait" r:id="rId1"/>
  <headerFooter alignWithMargins="0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48"/>
  </sheetPr>
  <dimension ref="B4:R155"/>
  <sheetViews>
    <sheetView workbookViewId="0"/>
  </sheetViews>
  <sheetFormatPr defaultRowHeight="12.75" x14ac:dyDescent="0.2"/>
  <cols>
    <col min="2" max="2" width="12.7109375" customWidth="1"/>
    <col min="3" max="3" width="9.5703125" customWidth="1"/>
    <col min="4" max="4" width="12" customWidth="1"/>
    <col min="5" max="5" width="17.5703125" customWidth="1"/>
    <col min="6" max="6" width="10.140625" bestFit="1" customWidth="1"/>
    <col min="7" max="7" width="11.140625" customWidth="1"/>
    <col min="8" max="8" width="11" customWidth="1"/>
    <col min="9" max="9" width="17" customWidth="1"/>
    <col min="10" max="10" width="11.28515625" customWidth="1"/>
    <col min="11" max="11" width="12.85546875" customWidth="1"/>
    <col min="12" max="12" width="10" customWidth="1"/>
    <col min="13" max="13" width="12.42578125" customWidth="1"/>
    <col min="14" max="14" width="12.5703125" customWidth="1"/>
    <col min="15" max="15" width="16" customWidth="1"/>
  </cols>
  <sheetData>
    <row r="4" spans="2:18" ht="13.5" thickBot="1" x14ac:dyDescent="0.25">
      <c r="B4" s="29" t="s">
        <v>44</v>
      </c>
      <c r="C4" s="30" t="s">
        <v>45</v>
      </c>
      <c r="D4" s="30" t="s">
        <v>46</v>
      </c>
      <c r="E4" s="30" t="s">
        <v>47</v>
      </c>
      <c r="F4" s="30" t="s">
        <v>48</v>
      </c>
      <c r="G4" s="30" t="s">
        <v>49</v>
      </c>
      <c r="H4" s="30" t="s">
        <v>50</v>
      </c>
      <c r="I4" s="30" t="s">
        <v>51</v>
      </c>
      <c r="J4" s="30" t="s">
        <v>52</v>
      </c>
      <c r="K4" s="30" t="s">
        <v>53</v>
      </c>
      <c r="L4" s="30" t="s">
        <v>3</v>
      </c>
      <c r="M4" s="30" t="s">
        <v>54</v>
      </c>
      <c r="N4" s="30" t="s">
        <v>55</v>
      </c>
      <c r="O4" s="31" t="s">
        <v>56</v>
      </c>
    </row>
    <row r="5" spans="2:18" ht="13.5" thickTop="1" x14ac:dyDescent="0.2">
      <c r="B5" s="45" t="s">
        <v>360</v>
      </c>
      <c r="C5" s="34">
        <f>Input!$B$7</f>
        <v>25</v>
      </c>
      <c r="D5" s="42" t="str">
        <f>Input!$B$9</f>
        <v>LW903</v>
      </c>
      <c r="E5" s="42">
        <f>Input!$B$10</f>
        <v>1422</v>
      </c>
      <c r="F5" s="43">
        <f>Input!$B$5</f>
        <v>43900</v>
      </c>
      <c r="G5" s="34" t="s">
        <v>0</v>
      </c>
      <c r="H5" s="45" t="s">
        <v>64</v>
      </c>
      <c r="I5" s="34">
        <v>1</v>
      </c>
      <c r="J5" s="34">
        <f>IF(Input!$B$12="2D","",INDEX(Input!$I$21:$I$146,MATCH(Table4[[#This Row],[MARK ID]],Input!$H$21:$H$146,0)))</f>
        <v>286427.61349999998</v>
      </c>
      <c r="K5" s="34">
        <f>IF(Input!$B$12="2D","",INDEX(Input!$J$21:$J$146,MATCH(Table4[[#This Row],[MARK ID]],Input!$H$21:$H$146,0)))</f>
        <v>6215707.0017999997</v>
      </c>
      <c r="L5" s="24">
        <f>IFERROR(IF(Table4[[#This Row],[JOB NAME]]="A9MR",INDEX(Table9[R.L.],MATCH(Table4[[#This Row],[MARK ID]],Table9[Point],0)),INDEX(Table96[R.L.],MATCH(Table4[[#This Row],[MARK ID]],Table96[Point],0))),"")</f>
        <v>112.034188016529</v>
      </c>
      <c r="M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18.693568767093591</v>
      </c>
      <c r="N5" s="40" t="str">
        <f>IF(Input!$B$8=0,"",Input!$B$8)</f>
        <v/>
      </c>
      <c r="O5" s="34" t="s">
        <v>58</v>
      </c>
      <c r="R5" s="56"/>
    </row>
    <row r="6" spans="2:18" x14ac:dyDescent="0.2">
      <c r="B6" s="45" t="s">
        <v>360</v>
      </c>
      <c r="C6" s="34">
        <f>Input!$B$7</f>
        <v>25</v>
      </c>
      <c r="D6" s="42" t="str">
        <f>Input!$B$9</f>
        <v>LW903</v>
      </c>
      <c r="E6" s="42">
        <f>Input!$B$10</f>
        <v>1422</v>
      </c>
      <c r="F6" s="43">
        <f>Input!$B$5</f>
        <v>43900</v>
      </c>
      <c r="G6" s="34" t="s">
        <v>0</v>
      </c>
      <c r="H6" s="34" t="s">
        <v>65</v>
      </c>
      <c r="I6" s="34">
        <v>2</v>
      </c>
      <c r="J6" s="34">
        <f>IF(Input!$B$12="2D","",INDEX(Input!$I$21:$I$146,MATCH(Table4[[#This Row],[MARK ID]],Input!$H$21:$H$146,0)))</f>
        <v>286444.1225</v>
      </c>
      <c r="K6" s="34">
        <f>IF(Input!$B$12="2D","",INDEX(Input!$J$21:$J$146,MATCH(Table4[[#This Row],[MARK ID]],Input!$H$21:$H$146,0)))</f>
        <v>6215715.7747999998</v>
      </c>
      <c r="L6" s="24">
        <f>IFERROR(IF(Table4[[#This Row],[JOB NAME]]="A9MR",INDEX(Table9[R.L.],MATCH(Table4[[#This Row],[MARK ID]],Table9[Point],0)),INDEX(Table96[R.L.],MATCH(Table4[[#This Row],[MARK ID]],Table96[Point],0))),"")</f>
        <v>111.73257198534944</v>
      </c>
      <c r="M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20.456490412579775</v>
      </c>
      <c r="N6" s="41" t="str">
        <f>IF(Input!$B$8=0,"",Input!$B$8)</f>
        <v/>
      </c>
      <c r="O6" s="34" t="s">
        <v>58</v>
      </c>
    </row>
    <row r="7" spans="2:18" x14ac:dyDescent="0.2">
      <c r="B7" s="45" t="s">
        <v>360</v>
      </c>
      <c r="C7" s="34">
        <f>Input!$B$7</f>
        <v>25</v>
      </c>
      <c r="D7" s="42" t="str">
        <f>Input!$B$9</f>
        <v>LW903</v>
      </c>
      <c r="E7" s="42">
        <f>Input!$B$10</f>
        <v>1422</v>
      </c>
      <c r="F7" s="43">
        <f>Input!$B$5</f>
        <v>43900</v>
      </c>
      <c r="G7" s="34" t="s">
        <v>0</v>
      </c>
      <c r="H7" s="45" t="s">
        <v>66</v>
      </c>
      <c r="I7" s="34">
        <v>3</v>
      </c>
      <c r="J7" s="34">
        <f>IF(Input!$B$12="2D","",INDEX(Input!$I$21:$I$146,MATCH(Table4[[#This Row],[MARK ID]],Input!$H$21:$H$146,0)))</f>
        <v>286463.18709999998</v>
      </c>
      <c r="K7" s="34">
        <f>IF(Input!$B$12="2D","",INDEX(Input!$J$21:$J$146,MATCH(Table4[[#This Row],[MARK ID]],Input!$H$21:$H$146,0)))</f>
        <v>6215723.2017999999</v>
      </c>
      <c r="L7" s="24">
        <f>IFERROR(IF(Table4[[#This Row],[JOB NAME]]="A9MR",INDEX(Table9[R.L.],MATCH(Table4[[#This Row],[MARK ID]],Table9[Point],0)),INDEX(Table96[R.L.],MATCH(Table4[[#This Row],[MARK ID]],Table96[Point],0))),"")</f>
        <v>112.37745595416985</v>
      </c>
      <c r="M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19.922968183731527</v>
      </c>
      <c r="N7" s="41" t="str">
        <f>IF(Input!$B$8=0,"",Input!$B$8)</f>
        <v/>
      </c>
      <c r="O7" s="34" t="s">
        <v>58</v>
      </c>
    </row>
    <row r="8" spans="2:18" x14ac:dyDescent="0.2">
      <c r="B8" s="45" t="s">
        <v>360</v>
      </c>
      <c r="C8" s="34">
        <f>Input!$B$7</f>
        <v>25</v>
      </c>
      <c r="D8" s="42" t="str">
        <f>Input!$B$9</f>
        <v>LW903</v>
      </c>
      <c r="E8" s="42">
        <f>Input!$B$10</f>
        <v>1422</v>
      </c>
      <c r="F8" s="43">
        <f>Input!$B$5</f>
        <v>43900</v>
      </c>
      <c r="G8" s="34" t="s">
        <v>0</v>
      </c>
      <c r="H8" s="34" t="s">
        <v>67</v>
      </c>
      <c r="I8" s="34">
        <v>4</v>
      </c>
      <c r="J8" s="34">
        <f>IF(Input!$B$12="2D","",INDEX(Input!$I$21:$I$146,MATCH(Table4[[#This Row],[MARK ID]],Input!$H$21:$H$146,0)))</f>
        <v>286482.01169999997</v>
      </c>
      <c r="K8" s="34">
        <f>IF(Input!$B$12="2D","",INDEX(Input!$J$21:$J$146,MATCH(Table4[[#This Row],[MARK ID]],Input!$H$21:$H$146,0)))</f>
        <v>6215729.7324999999</v>
      </c>
      <c r="L8" s="24">
        <f>IFERROR(IF(Table4[[#This Row],[JOB NAME]]="A9MR",INDEX(Table9[R.L.],MATCH(Table4[[#This Row],[MARK ID]],Table9[Point],0)),INDEX(Table96[R.L.],MATCH(Table4[[#This Row],[MARK ID]],Table96[Point],0))),"")</f>
        <v>114.0683399229903</v>
      </c>
      <c r="M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18.168647638170981</v>
      </c>
      <c r="N8" s="41" t="str">
        <f>IF(Input!$B$8=0,"",Input!$B$8)</f>
        <v/>
      </c>
      <c r="O8" s="34" t="s">
        <v>58</v>
      </c>
    </row>
    <row r="9" spans="2:18" x14ac:dyDescent="0.2">
      <c r="B9" s="45" t="s">
        <v>360</v>
      </c>
      <c r="C9" s="34">
        <f>Input!$B$7</f>
        <v>25</v>
      </c>
      <c r="D9" s="42" t="str">
        <f>Input!$B$9</f>
        <v>LW903</v>
      </c>
      <c r="E9" s="42">
        <f>Input!$B$10</f>
        <v>1422</v>
      </c>
      <c r="F9" s="43">
        <f>Input!$B$5</f>
        <v>43900</v>
      </c>
      <c r="G9" s="34" t="s">
        <v>0</v>
      </c>
      <c r="H9" s="45" t="s">
        <v>68</v>
      </c>
      <c r="I9" s="34">
        <v>5</v>
      </c>
      <c r="J9" s="34">
        <f>IF(Input!$B$12="2D","",INDEX(Input!$I$21:$I$146,MATCH(Table4[[#This Row],[MARK ID]],Input!$H$21:$H$146,0)))</f>
        <v>286499.6532</v>
      </c>
      <c r="K9" s="34">
        <f>IF(Input!$B$12="2D","",INDEX(Input!$J$21:$J$146,MATCH(Table4[[#This Row],[MARK ID]],Input!$H$21:$H$146,0)))</f>
        <v>6215734.0877</v>
      </c>
      <c r="L9" s="24">
        <f>IFERROR(IF(Table4[[#This Row],[JOB NAME]]="A9MR",INDEX(Table9[R.L.],MATCH(Table4[[#This Row],[MARK ID]],Table9[Point],0)),INDEX(Table96[R.L.],MATCH(Table4[[#This Row],[MARK ID]],Table96[Point],0))),"")</f>
        <v>115.16522389181074</v>
      </c>
      <c r="M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20.055195860425066</v>
      </c>
      <c r="N9" s="41" t="str">
        <f>IF(Input!$B$8=0,"",Input!$B$8)</f>
        <v/>
      </c>
      <c r="O9" s="34" t="s">
        <v>58</v>
      </c>
    </row>
    <row r="10" spans="2:18" x14ac:dyDescent="0.2">
      <c r="B10" s="45" t="s">
        <v>360</v>
      </c>
      <c r="C10" s="34">
        <f>Input!$B$7</f>
        <v>25</v>
      </c>
      <c r="D10" s="42" t="str">
        <f>Input!$B$9</f>
        <v>LW903</v>
      </c>
      <c r="E10" s="42">
        <f>Input!$B$10</f>
        <v>1422</v>
      </c>
      <c r="F10" s="43">
        <f>Input!$B$5</f>
        <v>43900</v>
      </c>
      <c r="G10" s="34" t="s">
        <v>0</v>
      </c>
      <c r="H10" s="34" t="s">
        <v>69</v>
      </c>
      <c r="I10" s="34">
        <v>6</v>
      </c>
      <c r="J10" s="34">
        <f>IF(Input!$B$12="2D","",INDEX(Input!$I$21:$I$146,MATCH(Table4[[#This Row],[MARK ID]],Input!$H$21:$H$146,0)))</f>
        <v>286519.27370000002</v>
      </c>
      <c r="K10" s="34">
        <f>IF(Input!$B$12="2D","",INDEX(Input!$J$21:$J$146,MATCH(Table4[[#This Row],[MARK ID]],Input!$H$21:$H$146,0)))</f>
        <v>6215738.2542000003</v>
      </c>
      <c r="L10" s="24">
        <f>IFERROR(IF(Table4[[#This Row],[JOB NAME]]="A9MR",INDEX(Table9[R.L.],MATCH(Table4[[#This Row],[MARK ID]],Table9[Point],0)),INDEX(Table96[R.L.],MATCH(Table4[[#This Row],[MARK ID]],Table96[Point],0))),"")</f>
        <v>116.2546078606312</v>
      </c>
      <c r="M1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20.305132663934927</v>
      </c>
      <c r="N10" s="41" t="str">
        <f>IF(Input!$B$8=0,"",Input!$B$8)</f>
        <v/>
      </c>
      <c r="O10" s="34" t="s">
        <v>58</v>
      </c>
    </row>
    <row r="11" spans="2:18" x14ac:dyDescent="0.2">
      <c r="B11" s="45" t="s">
        <v>360</v>
      </c>
      <c r="C11" s="34">
        <f>Input!$B$7</f>
        <v>25</v>
      </c>
      <c r="D11" s="42" t="str">
        <f>Input!$B$9</f>
        <v>LW903</v>
      </c>
      <c r="E11" s="42">
        <f>Input!$B$10</f>
        <v>1422</v>
      </c>
      <c r="F11" s="43">
        <f>Input!$B$5</f>
        <v>43900</v>
      </c>
      <c r="G11" s="34" t="s">
        <v>0</v>
      </c>
      <c r="H11" s="45" t="s">
        <v>70</v>
      </c>
      <c r="I11" s="34">
        <v>7</v>
      </c>
      <c r="J11" s="34">
        <f>IF(Input!$B$12="2D","",INDEX(Input!$I$21:$I$146,MATCH(Table4[[#This Row],[MARK ID]],Input!$H$21:$H$146,0)))</f>
        <v>286539.09769999998</v>
      </c>
      <c r="K11" s="34">
        <f>IF(Input!$B$12="2D","",INDEX(Input!$J$21:$J$146,MATCH(Table4[[#This Row],[MARK ID]],Input!$H$21:$H$146,0)))</f>
        <v>6215742.6628999999</v>
      </c>
      <c r="L11" s="24">
        <f>IFERROR(IF(Table4[[#This Row],[JOB NAME]]="A9MR",INDEX(Table9[R.L.],MATCH(Table4[[#This Row],[MARK ID]],Table9[Point],0)),INDEX(Table96[R.L.],MATCH(Table4[[#This Row],[MARK ID]],Table96[Point],0))),"")</f>
        <v>117.70599182945162</v>
      </c>
      <c r="M1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21.144074926560126</v>
      </c>
      <c r="N11" s="41" t="str">
        <f>IF(Input!$B$8=0,"",Input!$B$8)</f>
        <v/>
      </c>
      <c r="O11" s="34" t="s">
        <v>58</v>
      </c>
    </row>
    <row r="12" spans="2:18" x14ac:dyDescent="0.2">
      <c r="B12" s="45" t="s">
        <v>360</v>
      </c>
      <c r="C12" s="34">
        <f>Input!$B$7</f>
        <v>25</v>
      </c>
      <c r="D12" s="42" t="str">
        <f>Input!$B$9</f>
        <v>LW903</v>
      </c>
      <c r="E12" s="42">
        <f>Input!$B$10</f>
        <v>1422</v>
      </c>
      <c r="F12" s="43">
        <f>Input!$B$5</f>
        <v>43900</v>
      </c>
      <c r="G12" s="34" t="s">
        <v>0</v>
      </c>
      <c r="H12" s="34" t="s">
        <v>71</v>
      </c>
      <c r="I12" s="34">
        <v>8</v>
      </c>
      <c r="J12" s="34">
        <f>IF(Input!$B$12="2D","",INDEX(Input!$I$21:$I$146,MATCH(Table4[[#This Row],[MARK ID]],Input!$H$21:$H$146,0)))</f>
        <v>286559.88579999999</v>
      </c>
      <c r="K12" s="34">
        <f>IF(Input!$B$12="2D","",INDEX(Input!$J$21:$J$146,MATCH(Table4[[#This Row],[MARK ID]],Input!$H$21:$H$146,0)))</f>
        <v>6215746.5471000001</v>
      </c>
      <c r="L12" s="24">
        <f>IFERROR(IF(Table4[[#This Row],[JOB NAME]]="A9MR",INDEX(Table9[R.L.],MATCH(Table4[[#This Row],[MARK ID]],Table9[Point],0)),INDEX(Table96[R.L.],MATCH(Table4[[#This Row],[MARK ID]],Table96[Point],0))),"")</f>
        <v>118.78837579827207</v>
      </c>
      <c r="M1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19.920606541970479</v>
      </c>
      <c r="N12" s="41" t="str">
        <f>IF(Input!$B$8=0,"",Input!$B$8)</f>
        <v/>
      </c>
      <c r="O12" s="34" t="s">
        <v>58</v>
      </c>
    </row>
    <row r="13" spans="2:18" x14ac:dyDescent="0.2">
      <c r="B13" s="45" t="s">
        <v>360</v>
      </c>
      <c r="C13" s="34">
        <f>Input!$B$7</f>
        <v>25</v>
      </c>
      <c r="D13" s="42" t="str">
        <f>Input!$B$9</f>
        <v>LW903</v>
      </c>
      <c r="E13" s="42">
        <f>Input!$B$10</f>
        <v>1422</v>
      </c>
      <c r="F13" s="43">
        <f>Input!$B$5</f>
        <v>43900</v>
      </c>
      <c r="G13" s="34" t="s">
        <v>0</v>
      </c>
      <c r="H13" s="45" t="s">
        <v>72</v>
      </c>
      <c r="I13" s="34">
        <v>9</v>
      </c>
      <c r="J13" s="34">
        <f>IF(Input!$B$12="2D","",INDEX(Input!$I$21:$I$146,MATCH(Table4[[#This Row],[MARK ID]],Input!$H$21:$H$146,0)))</f>
        <v>286579.67830000003</v>
      </c>
      <c r="K13" s="34">
        <f>IF(Input!$B$12="2D","",INDEX(Input!$J$21:$J$146,MATCH(Table4[[#This Row],[MARK ID]],Input!$H$21:$H$146,0)))</f>
        <v>6215748.8229999999</v>
      </c>
      <c r="L13" s="24">
        <f>IFERROR(IF(Table4[[#This Row],[JOB NAME]]="A9MR",INDEX(Table9[R.L.],MATCH(Table4[[#This Row],[MARK ID]],Table9[Point],0)),INDEX(Table96[R.L.],MATCH(Table4[[#This Row],[MARK ID]],Table96[Point],0))),"")</f>
        <v>118.96675976709248</v>
      </c>
      <c r="M1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19.637285154777341</v>
      </c>
      <c r="N13" s="41" t="str">
        <f>IF(Input!$B$8=0,"",Input!$B$8)</f>
        <v/>
      </c>
      <c r="O13" s="34" t="s">
        <v>58</v>
      </c>
    </row>
    <row r="14" spans="2:18" x14ac:dyDescent="0.2">
      <c r="B14" s="45" t="s">
        <v>360</v>
      </c>
      <c r="C14" s="34">
        <f>Input!$B$7</f>
        <v>25</v>
      </c>
      <c r="D14" s="42" t="str">
        <f>Input!$B$9</f>
        <v>LW903</v>
      </c>
      <c r="E14" s="42">
        <f>Input!$B$10</f>
        <v>1422</v>
      </c>
      <c r="F14" s="43">
        <f>Input!$B$5</f>
        <v>43900</v>
      </c>
      <c r="G14" s="34" t="s">
        <v>0</v>
      </c>
      <c r="H14" s="34" t="s">
        <v>73</v>
      </c>
      <c r="I14" s="34">
        <v>10</v>
      </c>
      <c r="J14" s="34">
        <f>IF(Input!$B$12="2D","",INDEX(Input!$I$21:$I$146,MATCH(Table4[[#This Row],[MARK ID]],Input!$H$21:$H$146,0)))</f>
        <v>286599.20140000002</v>
      </c>
      <c r="K14" s="34">
        <f>IF(Input!$B$12="2D","",INDEX(Input!$J$21:$J$146,MATCH(Table4[[#This Row],[MARK ID]],Input!$H$21:$H$146,0)))</f>
        <v>6215750.9566000002</v>
      </c>
      <c r="L14" s="24">
        <f>IFERROR(IF(Table4[[#This Row],[JOB NAME]]="A9MR",INDEX(Table9[R.L.],MATCH(Table4[[#This Row],[MARK ID]],Table9[Point],0)),INDEX(Table96[R.L.],MATCH(Table4[[#This Row],[MARK ID]],Table96[Point],0))),"")</f>
        <v>119.22614373591293</v>
      </c>
      <c r="M1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20.504782125153046</v>
      </c>
      <c r="N14" s="41" t="str">
        <f>IF(Input!$B$8=0,"",Input!$B$8)</f>
        <v/>
      </c>
      <c r="O14" s="34" t="s">
        <v>58</v>
      </c>
    </row>
    <row r="15" spans="2:18" x14ac:dyDescent="0.2">
      <c r="B15" s="45" t="s">
        <v>360</v>
      </c>
      <c r="C15" s="34">
        <f>Input!$B$7</f>
        <v>25</v>
      </c>
      <c r="D15" s="42" t="str">
        <f>Input!$B$9</f>
        <v>LW903</v>
      </c>
      <c r="E15" s="42">
        <f>Input!$B$10</f>
        <v>1422</v>
      </c>
      <c r="F15" s="43">
        <f>Input!$B$5</f>
        <v>43900</v>
      </c>
      <c r="G15" s="34" t="s">
        <v>0</v>
      </c>
      <c r="H15" s="45" t="s">
        <v>74</v>
      </c>
      <c r="I15" s="34">
        <v>11</v>
      </c>
      <c r="J15" s="34">
        <f>IF(Input!$B$12="2D","",INDEX(Input!$I$21:$I$146,MATCH(Table4[[#This Row],[MARK ID]],Input!$H$21:$H$146,0)))</f>
        <v>286619.59779999999</v>
      </c>
      <c r="K15" s="34">
        <f>IF(Input!$B$12="2D","",INDEX(Input!$J$21:$J$146,MATCH(Table4[[#This Row],[MARK ID]],Input!$H$21:$H$146,0)))</f>
        <v>6215753.0970000001</v>
      </c>
      <c r="L15" s="24">
        <f>IFERROR(IF(Table4[[#This Row],[JOB NAME]]="A9MR",INDEX(Table9[R.L.],MATCH(Table4[[#This Row],[MARK ID]],Table9[Point],0)),INDEX(Table96[R.L.],MATCH(Table4[[#This Row],[MARK ID]],Table96[Point],0))),"")</f>
        <v>119.35852770473335</v>
      </c>
      <c r="M1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20.6876791895561</v>
      </c>
      <c r="N15" s="41" t="str">
        <f>IF(Input!$B$8=0,"",Input!$B$8)</f>
        <v/>
      </c>
      <c r="O15" s="34" t="s">
        <v>58</v>
      </c>
    </row>
    <row r="16" spans="2:18" x14ac:dyDescent="0.2">
      <c r="B16" s="45" t="s">
        <v>360</v>
      </c>
      <c r="C16" s="34">
        <f>Input!$B$7</f>
        <v>25</v>
      </c>
      <c r="D16" s="42" t="str">
        <f>Input!$B$9</f>
        <v>LW903</v>
      </c>
      <c r="E16" s="42">
        <f>Input!$B$10</f>
        <v>1422</v>
      </c>
      <c r="F16" s="43">
        <f>Input!$B$5</f>
        <v>43900</v>
      </c>
      <c r="G16" s="34" t="s">
        <v>0</v>
      </c>
      <c r="H16" s="34" t="s">
        <v>75</v>
      </c>
      <c r="I16" s="34">
        <v>12</v>
      </c>
      <c r="J16" s="34">
        <f>IF(Input!$B$12="2D","",INDEX(Input!$I$21:$I$146,MATCH(Table4[[#This Row],[MARK ID]],Input!$H$21:$H$146,0)))</f>
        <v>286640.13939999999</v>
      </c>
      <c r="K16" s="34">
        <f>IF(Input!$B$12="2D","",INDEX(Input!$J$21:$J$146,MATCH(Table4[[#This Row],[MARK ID]],Input!$H$21:$H$146,0)))</f>
        <v>6215755.5733000003</v>
      </c>
      <c r="L16" s="24">
        <f>IFERROR(IF(Table4[[#This Row],[JOB NAME]]="A9MR",INDEX(Table9[R.L.],MATCH(Table4[[#This Row],[MARK ID]],Table9[Point],0)),INDEX(Table96[R.L.],MATCH(Table4[[#This Row],[MARK ID]],Table96[Point],0))),"")</f>
        <v>119.48741167355382</v>
      </c>
      <c r="M1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18.798610141443557</v>
      </c>
      <c r="N16" s="41" t="str">
        <f>IF(Input!$B$8=0,"",Input!$B$8)</f>
        <v/>
      </c>
      <c r="O16" s="34" t="s">
        <v>58</v>
      </c>
    </row>
    <row r="17" spans="2:15" x14ac:dyDescent="0.2">
      <c r="B17" s="45" t="s">
        <v>360</v>
      </c>
      <c r="C17" s="34">
        <f>Input!$B$7</f>
        <v>25</v>
      </c>
      <c r="D17" s="42" t="str">
        <f>Input!$B$9</f>
        <v>LW903</v>
      </c>
      <c r="E17" s="42">
        <f>Input!$B$10</f>
        <v>1422</v>
      </c>
      <c r="F17" s="43">
        <f>Input!$B$5</f>
        <v>43900</v>
      </c>
      <c r="G17" s="34" t="s">
        <v>0</v>
      </c>
      <c r="H17" s="45" t="s">
        <v>76</v>
      </c>
      <c r="I17" s="34">
        <v>13</v>
      </c>
      <c r="J17" s="34">
        <f>IF(Input!$B$12="2D","",INDEX(Input!$I$21:$I$146,MATCH(Table4[[#This Row],[MARK ID]],Input!$H$21:$H$146,0)))</f>
        <v>286658.7316</v>
      </c>
      <c r="K17" s="34">
        <f>IF(Input!$B$12="2D","",INDEX(Input!$J$21:$J$146,MATCH(Table4[[#This Row],[MARK ID]],Input!$H$21:$H$146,0)))</f>
        <v>6215758.3694000002</v>
      </c>
      <c r="L17" s="24">
        <f>IFERROR(IF(Table4[[#This Row],[JOB NAME]]="A9MR",INDEX(Table9[R.L.],MATCH(Table4[[#This Row],[MARK ID]],Table9[Point],0)),INDEX(Table96[R.L.],MATCH(Table4[[#This Row],[MARK ID]],Table96[Point],0))),"")</f>
        <v>119.87328403925632</v>
      </c>
      <c r="M1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21.348439755635397</v>
      </c>
      <c r="N17" s="41" t="str">
        <f>IF(Input!$B$8=0,"",Input!$B$8)</f>
        <v/>
      </c>
      <c r="O17" s="34" t="s">
        <v>58</v>
      </c>
    </row>
    <row r="18" spans="2:15" x14ac:dyDescent="0.2">
      <c r="B18" s="45" t="s">
        <v>360</v>
      </c>
      <c r="C18" s="34">
        <f>Input!$B$7</f>
        <v>25</v>
      </c>
      <c r="D18" s="42" t="str">
        <f>Input!$B$9</f>
        <v>LW903</v>
      </c>
      <c r="E18" s="42">
        <f>Input!$B$10</f>
        <v>1422</v>
      </c>
      <c r="F18" s="43">
        <f>Input!$B$5</f>
        <v>43900</v>
      </c>
      <c r="G18" s="34" t="s">
        <v>0</v>
      </c>
      <c r="H18" s="34" t="s">
        <v>77</v>
      </c>
      <c r="I18" s="34">
        <v>14</v>
      </c>
      <c r="J18" s="34">
        <f>IF(Input!$B$12="2D","",INDEX(Input!$I$21:$I$146,MATCH(Table4[[#This Row],[MARK ID]],Input!$H$21:$H$146,0)))</f>
        <v>286680.00219999999</v>
      </c>
      <c r="K18" s="34">
        <f>IF(Input!$B$12="2D","",INDEX(Input!$J$21:$J$146,MATCH(Table4[[#This Row],[MARK ID]],Input!$H$21:$H$146,0)))</f>
        <v>6215760.2199999997</v>
      </c>
      <c r="L18" s="24">
        <f>IFERROR(IF(Table4[[#This Row],[JOB NAME]]="A9MR",INDEX(Table9[R.L.],MATCH(Table4[[#This Row],[MARK ID]],Table9[Point],0)),INDEX(Table96[R.L.],MATCH(Table4[[#This Row],[MARK ID]],Table96[Point],0))),"")</f>
        <v>119.98465640495877</v>
      </c>
      <c r="M1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17.826817473962631</v>
      </c>
      <c r="N18" s="41" t="str">
        <f>IF(Input!$B$8=0,"",Input!$B$8)</f>
        <v/>
      </c>
      <c r="O18" s="34" t="s">
        <v>58</v>
      </c>
    </row>
    <row r="19" spans="2:15" x14ac:dyDescent="0.2">
      <c r="B19" s="45" t="s">
        <v>360</v>
      </c>
      <c r="C19" s="34">
        <f>Input!$B$7</f>
        <v>25</v>
      </c>
      <c r="D19" s="42" t="str">
        <f>Input!$B$9</f>
        <v>LW903</v>
      </c>
      <c r="E19" s="42">
        <f>Input!$B$10</f>
        <v>1422</v>
      </c>
      <c r="F19" s="43">
        <f>Input!$B$5</f>
        <v>43900</v>
      </c>
      <c r="G19" s="34" t="s">
        <v>0</v>
      </c>
      <c r="H19" s="45" t="s">
        <v>78</v>
      </c>
      <c r="I19" s="34">
        <v>15</v>
      </c>
      <c r="J19" s="34">
        <f>IF(Input!$B$12="2D","",INDEX(Input!$I$21:$I$146,MATCH(Table4[[#This Row],[MARK ID]],Input!$H$21:$H$146,0)))</f>
        <v>286697.64520000003</v>
      </c>
      <c r="K19" s="34">
        <f>IF(Input!$B$12="2D","",INDEX(Input!$J$21:$J$146,MATCH(Table4[[#This Row],[MARK ID]],Input!$H$21:$H$146,0)))</f>
        <v>6215762.7895999998</v>
      </c>
      <c r="L19" s="24">
        <f>IFERROR(IF(Table4[[#This Row],[JOB NAME]]="A9MR",INDEX(Table9[R.L.],MATCH(Table4[[#This Row],[MARK ID]],Table9[Point],0)),INDEX(Table96[R.L.],MATCH(Table4[[#This Row],[MARK ID]],Table96[Point],0))),"")</f>
        <v>119.80702877066125</v>
      </c>
      <c r="M1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21.31730532337545</v>
      </c>
      <c r="N19" s="41" t="str">
        <f>IF(Input!$B$8=0,"",Input!$B$8)</f>
        <v/>
      </c>
      <c r="O19" s="34" t="s">
        <v>58</v>
      </c>
    </row>
    <row r="20" spans="2:15" x14ac:dyDescent="0.2">
      <c r="B20" s="45" t="s">
        <v>360</v>
      </c>
      <c r="C20" s="34">
        <f>Input!$B$7</f>
        <v>25</v>
      </c>
      <c r="D20" s="42" t="str">
        <f>Input!$B$9</f>
        <v>LW903</v>
      </c>
      <c r="E20" s="42">
        <f>Input!$B$10</f>
        <v>1422</v>
      </c>
      <c r="F20" s="43">
        <f>Input!$B$5</f>
        <v>43900</v>
      </c>
      <c r="G20" s="34" t="s">
        <v>0</v>
      </c>
      <c r="H20" s="34" t="s">
        <v>79</v>
      </c>
      <c r="I20" s="34">
        <v>16</v>
      </c>
      <c r="J20" s="34">
        <f>IF(Input!$B$12="2D","",INDEX(Input!$I$21:$I$146,MATCH(Table4[[#This Row],[MARK ID]],Input!$H$21:$H$146,0)))</f>
        <v>286718.69880000001</v>
      </c>
      <c r="K20" s="34">
        <f>IF(Input!$B$12="2D","",INDEX(Input!$J$21:$J$146,MATCH(Table4[[#This Row],[MARK ID]],Input!$H$21:$H$146,0)))</f>
        <v>6215766.1503999997</v>
      </c>
      <c r="L20" s="24">
        <f>IFERROR(IF(Table4[[#This Row],[JOB NAME]]="A9MR",INDEX(Table9[R.L.],MATCH(Table4[[#This Row],[MARK ID]],Table9[Point],0)),INDEX(Table96[R.L.],MATCH(Table4[[#This Row],[MARK ID]],Table96[Point],0))),"")</f>
        <v>119.41940113636375</v>
      </c>
      <c r="M2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18.131536862605451</v>
      </c>
      <c r="N20" s="41" t="str">
        <f>IF(Input!$B$8=0,"",Input!$B$8)</f>
        <v/>
      </c>
      <c r="O20" s="34" t="s">
        <v>58</v>
      </c>
    </row>
    <row r="21" spans="2:15" x14ac:dyDescent="0.2">
      <c r="B21" s="45" t="s">
        <v>360</v>
      </c>
      <c r="C21" s="34">
        <f>Input!$B$7</f>
        <v>25</v>
      </c>
      <c r="D21" s="42" t="str">
        <f>Input!$B$9</f>
        <v>LW903</v>
      </c>
      <c r="E21" s="42">
        <f>Input!$B$10</f>
        <v>1422</v>
      </c>
      <c r="F21" s="43">
        <f>Input!$B$5</f>
        <v>43900</v>
      </c>
      <c r="G21" s="34" t="s">
        <v>0</v>
      </c>
      <c r="H21" s="45" t="s">
        <v>80</v>
      </c>
      <c r="I21" s="34">
        <v>17</v>
      </c>
      <c r="J21" s="34">
        <f>IF(Input!$B$12="2D","",INDEX(Input!$I$21:$I$146,MATCH(Table4[[#This Row],[MARK ID]],Input!$H$21:$H$146,0)))</f>
        <v>286736.28739999997</v>
      </c>
      <c r="K21" s="34">
        <f>IF(Input!$B$12="2D","",INDEX(Input!$J$21:$J$146,MATCH(Table4[[#This Row],[MARK ID]],Input!$H$21:$H$146,0)))</f>
        <v>6215770.5663999999</v>
      </c>
      <c r="L21" s="24">
        <f>IFERROR(IF(Table4[[#This Row],[JOB NAME]]="A9MR",INDEX(Table9[R.L.],MATCH(Table4[[#This Row],[MARK ID]],Table9[Point],0)),INDEX(Table96[R.L.],MATCH(Table4[[#This Row],[MARK ID]],Table96[Point],0))),"")</f>
        <v>119.11427350206624</v>
      </c>
      <c r="M2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20.98883846833786</v>
      </c>
      <c r="N21" s="41" t="str">
        <f>IF(Input!$B$8=0,"",Input!$B$8)</f>
        <v/>
      </c>
      <c r="O21" s="34" t="s">
        <v>58</v>
      </c>
    </row>
    <row r="22" spans="2:15" x14ac:dyDescent="0.2">
      <c r="B22" s="45" t="s">
        <v>360</v>
      </c>
      <c r="C22" s="34">
        <f>Input!$B$7</f>
        <v>25</v>
      </c>
      <c r="D22" s="42" t="str">
        <f>Input!$B$9</f>
        <v>LW903</v>
      </c>
      <c r="E22" s="42">
        <f>Input!$B$10</f>
        <v>1422</v>
      </c>
      <c r="F22" s="43">
        <f>Input!$B$5</f>
        <v>43900</v>
      </c>
      <c r="G22" s="34" t="s">
        <v>0</v>
      </c>
      <c r="H22" s="34" t="s">
        <v>81</v>
      </c>
      <c r="I22" s="34">
        <v>18</v>
      </c>
      <c r="J22" s="34">
        <f>IF(Input!$B$12="2D","",INDEX(Input!$I$21:$I$146,MATCH(Table4[[#This Row],[MARK ID]],Input!$H$21:$H$146,0)))</f>
        <v>286755.74930000002</v>
      </c>
      <c r="K22" s="34">
        <f>IF(Input!$B$12="2D","",INDEX(Input!$J$21:$J$146,MATCH(Table4[[#This Row],[MARK ID]],Input!$H$21:$H$146,0)))</f>
        <v>6215778.4331</v>
      </c>
      <c r="L22" s="24">
        <f>IFERROR(IF(Table4[[#This Row],[JOB NAME]]="A9MR",INDEX(Table9[R.L.],MATCH(Table4[[#This Row],[MARK ID]],Table9[Point],0)),INDEX(Table96[R.L.],MATCH(Table4[[#This Row],[MARK ID]],Table96[Point],0))),"")</f>
        <v>119.05564586776872</v>
      </c>
      <c r="M2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20.916837434230668</v>
      </c>
      <c r="N22" s="41" t="str">
        <f>IF(Input!$B$8=0,"",Input!$B$8)</f>
        <v/>
      </c>
      <c r="O22" s="34" t="s">
        <v>58</v>
      </c>
    </row>
    <row r="23" spans="2:15" x14ac:dyDescent="0.2">
      <c r="B23" s="45" t="s">
        <v>360</v>
      </c>
      <c r="C23" s="34">
        <f>Input!$B$7</f>
        <v>25</v>
      </c>
      <c r="D23" s="42" t="str">
        <f>Input!$B$9</f>
        <v>LW903</v>
      </c>
      <c r="E23" s="42">
        <f>Input!$B$10</f>
        <v>1422</v>
      </c>
      <c r="F23" s="43">
        <f>Input!$B$5</f>
        <v>43900</v>
      </c>
      <c r="G23" s="34" t="s">
        <v>0</v>
      </c>
      <c r="H23" s="45" t="s">
        <v>82</v>
      </c>
      <c r="I23" s="34">
        <v>19</v>
      </c>
      <c r="J23" s="34">
        <f>IF(Input!$B$12="2D","",INDEX(Input!$I$21:$I$146,MATCH(Table4[[#This Row],[MARK ID]],Input!$H$21:$H$146,0)))</f>
        <v>286775.11229999998</v>
      </c>
      <c r="K23" s="34">
        <f>IF(Input!$B$12="2D","",INDEX(Input!$J$21:$J$146,MATCH(Table4[[#This Row],[MARK ID]],Input!$H$21:$H$146,0)))</f>
        <v>6215786.3524000002</v>
      </c>
      <c r="L23" s="24">
        <f>IFERROR(IF(Table4[[#This Row],[JOB NAME]]="A9MR",INDEX(Table9[R.L.],MATCH(Table4[[#This Row],[MARK ID]],Table9[Point],0)),INDEX(Table96[R.L.],MATCH(Table4[[#This Row],[MARK ID]],Table96[Point],0))),"")</f>
        <v>119.12351823347119</v>
      </c>
      <c r="M2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18.598219679582112</v>
      </c>
      <c r="N23" s="41" t="str">
        <f>IF(Input!$B$8=0,"",Input!$B$8)</f>
        <v/>
      </c>
      <c r="O23" s="34" t="s">
        <v>58</v>
      </c>
    </row>
    <row r="24" spans="2:15" x14ac:dyDescent="0.2">
      <c r="B24" s="45" t="s">
        <v>360</v>
      </c>
      <c r="C24" s="34">
        <f>Input!$B$7</f>
        <v>25</v>
      </c>
      <c r="D24" s="42" t="str">
        <f>Input!$B$9</f>
        <v>LW903</v>
      </c>
      <c r="E24" s="42">
        <f>Input!$B$10</f>
        <v>1422</v>
      </c>
      <c r="F24" s="43">
        <f>Input!$B$5</f>
        <v>43900</v>
      </c>
      <c r="G24" s="34" t="s">
        <v>0</v>
      </c>
      <c r="H24" s="34" t="s">
        <v>83</v>
      </c>
      <c r="I24" s="34">
        <v>20</v>
      </c>
      <c r="J24" s="34">
        <f>IF(Input!$B$12="2D","",INDEX(Input!$I$21:$I$146,MATCH(Table4[[#This Row],[MARK ID]],Input!$H$21:$H$146,0)))</f>
        <v>286792.30959999998</v>
      </c>
      <c r="K24" s="34">
        <f>IF(Input!$B$12="2D","",INDEX(Input!$J$21:$J$146,MATCH(Table4[[#This Row],[MARK ID]],Input!$H$21:$H$146,0)))</f>
        <v>6215793.4403999997</v>
      </c>
      <c r="L24" s="24">
        <f>IFERROR(IF(Table4[[#This Row],[JOB NAME]]="A9MR",INDEX(Table9[R.L.],MATCH(Table4[[#This Row],[MARK ID]],Table9[Point],0)),INDEX(Table96[R.L.],MATCH(Table4[[#This Row],[MARK ID]],Table96[Point],0))),"")</f>
        <v>119.64689059917369</v>
      </c>
      <c r="M2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21.555228397072916</v>
      </c>
      <c r="N24" s="41" t="str">
        <f>IF(Input!$B$8=0,"",Input!$B$8)</f>
        <v/>
      </c>
      <c r="O24" s="34" t="s">
        <v>58</v>
      </c>
    </row>
    <row r="25" spans="2:15" x14ac:dyDescent="0.2">
      <c r="B25" s="45" t="s">
        <v>360</v>
      </c>
      <c r="C25" s="34">
        <f>Input!$B$7</f>
        <v>25</v>
      </c>
      <c r="D25" s="42" t="str">
        <f>Input!$B$9</f>
        <v>LW903</v>
      </c>
      <c r="E25" s="42">
        <f>Input!$B$10</f>
        <v>1422</v>
      </c>
      <c r="F25" s="43">
        <f>Input!$B$5</f>
        <v>43900</v>
      </c>
      <c r="G25" s="34" t="s">
        <v>0</v>
      </c>
      <c r="H25" s="45" t="s">
        <v>84</v>
      </c>
      <c r="I25" s="34">
        <v>21</v>
      </c>
      <c r="J25" s="34">
        <f>IF(Input!$B$12="2D","",INDEX(Input!$I$21:$I$146,MATCH(Table4[[#This Row],[MARK ID]],Input!$H$21:$H$146,0)))</f>
        <v>286812.25390000001</v>
      </c>
      <c r="K25" s="34">
        <f>IF(Input!$B$12="2D","",INDEX(Input!$J$21:$J$146,MATCH(Table4[[#This Row],[MARK ID]],Input!$H$21:$H$146,0)))</f>
        <v>6215801.6246999996</v>
      </c>
      <c r="L25" s="24">
        <f>IFERROR(IF(Table4[[#This Row],[JOB NAME]]="A9MR",INDEX(Table9[R.L.],MATCH(Table4[[#This Row],[MARK ID]],Table9[Point],0)),INDEX(Table96[R.L.],MATCH(Table4[[#This Row],[MARK ID]],Table96[Point],0))),"")</f>
        <v>119.74926296487619</v>
      </c>
      <c r="M2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18.160301112591664</v>
      </c>
      <c r="N25" s="41" t="str">
        <f>IF(Input!$B$8=0,"",Input!$B$8)</f>
        <v/>
      </c>
      <c r="O25" s="34" t="s">
        <v>58</v>
      </c>
    </row>
    <row r="26" spans="2:15" s="57" customFormat="1" x14ac:dyDescent="0.2">
      <c r="B26" s="45" t="s">
        <v>360</v>
      </c>
      <c r="C26" s="41">
        <f>Input!$B$7</f>
        <v>25</v>
      </c>
      <c r="D26" s="42" t="str">
        <f>Input!$B$9</f>
        <v>LW903</v>
      </c>
      <c r="E26" s="42">
        <f>Input!$B$10</f>
        <v>1422</v>
      </c>
      <c r="F26" s="43">
        <f>Input!$B$5</f>
        <v>43900</v>
      </c>
      <c r="G26" s="34" t="s">
        <v>0</v>
      </c>
      <c r="H26" s="34" t="s">
        <v>85</v>
      </c>
      <c r="I26" s="34">
        <v>22</v>
      </c>
      <c r="J26" s="41">
        <f>IF(Input!$B$12="2D","",INDEX(Input!$I$21:$I$146,MATCH(Table4[[#This Row],[MARK ID]],Input!$H$21:$H$146,0)))</f>
        <v>286829.12270000001</v>
      </c>
      <c r="K26" s="41">
        <f>IF(Input!$B$12="2D","",INDEX(Input!$J$21:$J$146,MATCH(Table4[[#This Row],[MARK ID]],Input!$H$21:$H$146,0)))</f>
        <v>6215808.3583000004</v>
      </c>
      <c r="L26" s="24">
        <f>IFERROR(IF(Table4[[#This Row],[JOB NAME]]="A9MR",INDEX(Table9[R.L.],MATCH(Table4[[#This Row],[MARK ID]],Table9[Point],0)),INDEX(Table96[R.L.],MATCH(Table4[[#This Row],[MARK ID]],Table96[Point],0))),"")</f>
        <v>119.83113533057866</v>
      </c>
      <c r="M2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21.080133544406614</v>
      </c>
      <c r="N26" s="41" t="str">
        <f>IF(Input!$B$8=0,"",Input!$B$8)</f>
        <v/>
      </c>
      <c r="O26" s="34" t="s">
        <v>58</v>
      </c>
    </row>
    <row r="27" spans="2:15" s="57" customFormat="1" x14ac:dyDescent="0.2">
      <c r="B27" s="45" t="s">
        <v>360</v>
      </c>
      <c r="C27" s="41">
        <f>Input!$B$7</f>
        <v>25</v>
      </c>
      <c r="D27" s="42" t="str">
        <f>Input!$B$9</f>
        <v>LW903</v>
      </c>
      <c r="E27" s="42">
        <f>Input!$B$10</f>
        <v>1422</v>
      </c>
      <c r="F27" s="43">
        <f>Input!$B$5</f>
        <v>43900</v>
      </c>
      <c r="G27" s="34" t="s">
        <v>0</v>
      </c>
      <c r="H27" s="45" t="s">
        <v>86</v>
      </c>
      <c r="I27" s="34">
        <v>23</v>
      </c>
      <c r="J27" s="41">
        <f>IF(Input!$B$12="2D","",INDEX(Input!$I$21:$I$146,MATCH(Table4[[#This Row],[MARK ID]],Input!$H$21:$H$146,0)))</f>
        <v>286848.58069999999</v>
      </c>
      <c r="K27" s="41">
        <f>IF(Input!$B$12="2D","",INDEX(Input!$J$21:$J$146,MATCH(Table4[[#This Row],[MARK ID]],Input!$H$21:$H$146,0)))</f>
        <v>6215816.4741000002</v>
      </c>
      <c r="L27" s="24">
        <f>IFERROR(IF(Table4[[#This Row],[JOB NAME]]="A9MR",INDEX(Table9[R.L.],MATCH(Table4[[#This Row],[MARK ID]],Table9[Point],0)),INDEX(Table96[R.L.],MATCH(Table4[[#This Row],[MARK ID]],Table96[Point],0))),"")</f>
        <v>119.96250769628112</v>
      </c>
      <c r="M2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26.366435220749693</v>
      </c>
      <c r="N27" s="41" t="str">
        <f>IF(Input!$B$8=0,"",Input!$B$8)</f>
        <v/>
      </c>
      <c r="O27" s="34" t="s">
        <v>58</v>
      </c>
    </row>
    <row r="28" spans="2:15" s="57" customFormat="1" x14ac:dyDescent="0.2">
      <c r="B28" s="45" t="s">
        <v>360</v>
      </c>
      <c r="C28" s="41">
        <f>Input!$B$7</f>
        <v>25</v>
      </c>
      <c r="D28" s="42" t="str">
        <f>Input!$B$9</f>
        <v>LW903</v>
      </c>
      <c r="E28" s="42">
        <f>Input!$B$10</f>
        <v>1422</v>
      </c>
      <c r="F28" s="43">
        <f>Input!$B$5</f>
        <v>43900</v>
      </c>
      <c r="G28" s="34" t="s">
        <v>0</v>
      </c>
      <c r="H28" s="34" t="s">
        <v>87</v>
      </c>
      <c r="I28" s="34">
        <v>24</v>
      </c>
      <c r="J28" s="41">
        <f>IF(Input!$B$12="2D","",INDEX(Input!$I$21:$I$146,MATCH(Table4[[#This Row],[MARK ID]],Input!$H$21:$H$146,0)))</f>
        <v>286872.59029999998</v>
      </c>
      <c r="K28" s="41">
        <f>IF(Input!$B$12="2D","",INDEX(Input!$J$21:$J$146,MATCH(Table4[[#This Row],[MARK ID]],Input!$H$21:$H$146,0)))</f>
        <v>6215827.3788999999</v>
      </c>
      <c r="L28" s="24">
        <f>IFERROR(IF(Table4[[#This Row],[JOB NAME]]="A9MR",INDEX(Table9[R.L.],MATCH(Table4[[#This Row],[MARK ID]],Table9[Point],0)),INDEX(Table96[R.L.],MATCH(Table4[[#This Row],[MARK ID]],Table96[Point],0))),"")</f>
        <v>120.39038006198363</v>
      </c>
      <c r="M2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15.06019164884815</v>
      </c>
      <c r="N28" s="41" t="str">
        <f>IF(Input!$B$8=0,"",Input!$B$8)</f>
        <v/>
      </c>
      <c r="O28" s="34" t="s">
        <v>58</v>
      </c>
    </row>
    <row r="29" spans="2:15" s="57" customFormat="1" x14ac:dyDescent="0.2">
      <c r="B29" s="45" t="s">
        <v>360</v>
      </c>
      <c r="C29" s="41">
        <f>Input!$B$7</f>
        <v>25</v>
      </c>
      <c r="D29" s="42" t="str">
        <f>Input!$B$9</f>
        <v>LW903</v>
      </c>
      <c r="E29" s="42">
        <f>Input!$B$10</f>
        <v>1422</v>
      </c>
      <c r="F29" s="43">
        <f>Input!$B$5</f>
        <v>43900</v>
      </c>
      <c r="G29" s="34" t="s">
        <v>0</v>
      </c>
      <c r="H29" s="45" t="s">
        <v>88</v>
      </c>
      <c r="I29" s="34">
        <v>25</v>
      </c>
      <c r="J29" s="41">
        <f>IF(Input!$B$12="2D","",INDEX(Input!$I$21:$I$146,MATCH(Table4[[#This Row],[MARK ID]],Input!$H$21:$H$146,0)))</f>
        <v>286886.47379999998</v>
      </c>
      <c r="K29" s="41">
        <f>IF(Input!$B$12="2D","",INDEX(Input!$J$21:$J$146,MATCH(Table4[[#This Row],[MARK ID]],Input!$H$21:$H$146,0)))</f>
        <v>6215833.2216999996</v>
      </c>
      <c r="L29" s="24">
        <f>IFERROR(IF(Table4[[#This Row],[JOB NAME]]="A9MR",INDEX(Table9[R.L.],MATCH(Table4[[#This Row],[MARK ID]],Table9[Point],0)),INDEX(Table96[R.L.],MATCH(Table4[[#This Row],[MARK ID]],Table96[Point],0))),"")</f>
        <v>120.8152524276861</v>
      </c>
      <c r="M2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17.809766997352771</v>
      </c>
      <c r="N29" s="41" t="str">
        <f>IF(Input!$B$8=0,"",Input!$B$8)</f>
        <v/>
      </c>
      <c r="O29" s="34" t="s">
        <v>58</v>
      </c>
    </row>
    <row r="30" spans="2:15" s="57" customFormat="1" x14ac:dyDescent="0.2">
      <c r="B30" s="45" t="s">
        <v>360</v>
      </c>
      <c r="C30" s="41">
        <f>Input!$B$7</f>
        <v>25</v>
      </c>
      <c r="D30" s="42" t="str">
        <f>Input!$B$9</f>
        <v>LW903</v>
      </c>
      <c r="E30" s="42">
        <f>Input!$B$10</f>
        <v>1422</v>
      </c>
      <c r="F30" s="43">
        <f>Input!$B$5</f>
        <v>43900</v>
      </c>
      <c r="G30" s="34" t="s">
        <v>0</v>
      </c>
      <c r="H30" s="34" t="s">
        <v>89</v>
      </c>
      <c r="I30" s="34">
        <v>26</v>
      </c>
      <c r="J30" s="41">
        <f>IF(Input!$B$12="2D","",INDEX(Input!$I$21:$I$146,MATCH(Table4[[#This Row],[MARK ID]],Input!$H$21:$H$146,0)))</f>
        <v>286902.97859999997</v>
      </c>
      <c r="K30" s="41">
        <f>IF(Input!$B$12="2D","",INDEX(Input!$J$21:$J$146,MATCH(Table4[[#This Row],[MARK ID]],Input!$H$21:$H$146,0)))</f>
        <v>6215839.9206999997</v>
      </c>
      <c r="L30" s="24">
        <f>IFERROR(IF(Table4[[#This Row],[JOB NAME]]="A9MR",INDEX(Table9[R.L.],MATCH(Table4[[#This Row],[MARK ID]],Table9[Point],0)),INDEX(Table96[R.L.],MATCH(Table4[[#This Row],[MARK ID]],Table96[Point],0))),"")</f>
        <v>121.25112479338858</v>
      </c>
      <c r="M3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21.039688573027487</v>
      </c>
      <c r="N30" s="41" t="str">
        <f>IF(Input!$B$8=0,"",Input!$B$8)</f>
        <v/>
      </c>
      <c r="O30" s="34" t="s">
        <v>58</v>
      </c>
    </row>
    <row r="31" spans="2:15" s="57" customFormat="1" x14ac:dyDescent="0.2">
      <c r="B31" s="45" t="s">
        <v>360</v>
      </c>
      <c r="C31" s="41">
        <f>Input!$B$7</f>
        <v>25</v>
      </c>
      <c r="D31" s="42" t="str">
        <f>Input!$B$9</f>
        <v>LW903</v>
      </c>
      <c r="E31" s="42">
        <f>Input!$B$10</f>
        <v>1422</v>
      </c>
      <c r="F31" s="43">
        <f>Input!$B$5</f>
        <v>43900</v>
      </c>
      <c r="G31" s="34" t="s">
        <v>0</v>
      </c>
      <c r="H31" s="45" t="s">
        <v>90</v>
      </c>
      <c r="I31" s="34">
        <v>27</v>
      </c>
      <c r="J31" s="41">
        <f>IF(Input!$B$12="2D","",INDEX(Input!$I$21:$I$146,MATCH(Table4[[#This Row],[MARK ID]],Input!$H$21:$H$146,0)))</f>
        <v>286922.48239999998</v>
      </c>
      <c r="K31" s="41">
        <f>IF(Input!$B$12="2D","",INDEX(Input!$J$21:$J$146,MATCH(Table4[[#This Row],[MARK ID]],Input!$H$21:$H$146,0)))</f>
        <v>6215847.8202</v>
      </c>
      <c r="L31" s="24">
        <f>IFERROR(IF(Table4[[#This Row],[JOB NAME]]="A9MR",INDEX(Table9[R.L.],MATCH(Table4[[#This Row],[MARK ID]],Table9[Point],0)),INDEX(Table96[R.L.],MATCH(Table4[[#This Row],[MARK ID]],Table96[Point],0))),"")</f>
        <v>121.76149715909108</v>
      </c>
      <c r="M3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21.113323121905907</v>
      </c>
      <c r="N31" s="41" t="str">
        <f>IF(Input!$B$8=0,"",Input!$B$8)</f>
        <v/>
      </c>
      <c r="O31" s="34" t="s">
        <v>58</v>
      </c>
    </row>
    <row r="32" spans="2:15" s="57" customFormat="1" x14ac:dyDescent="0.2">
      <c r="B32" s="45" t="s">
        <v>360</v>
      </c>
      <c r="C32" s="41">
        <f>Input!$B$7</f>
        <v>25</v>
      </c>
      <c r="D32" s="42" t="str">
        <f>Input!$B$9</f>
        <v>LW903</v>
      </c>
      <c r="E32" s="42">
        <f>Input!$B$10</f>
        <v>1422</v>
      </c>
      <c r="F32" s="43">
        <f>Input!$B$5</f>
        <v>43900</v>
      </c>
      <c r="G32" s="34" t="s">
        <v>0</v>
      </c>
      <c r="H32" s="34" t="s">
        <v>91</v>
      </c>
      <c r="I32" s="34">
        <v>28</v>
      </c>
      <c r="J32" s="41">
        <f>IF(Input!$B$12="2D","",INDEX(Input!$I$21:$I$146,MATCH(Table4[[#This Row],[MARK ID]],Input!$H$21:$H$146,0)))</f>
        <v>286942.0575</v>
      </c>
      <c r="K32" s="41">
        <f>IF(Input!$B$12="2D","",INDEX(Input!$J$21:$J$146,MATCH(Table4[[#This Row],[MARK ID]],Input!$H$21:$H$146,0)))</f>
        <v>6215855.7389000002</v>
      </c>
      <c r="L32" s="24">
        <f>IFERROR(IF(Table4[[#This Row],[JOB NAME]]="A9MR",INDEX(Table9[R.L.],MATCH(Table4[[#This Row],[MARK ID]],Table9[Point],0)),INDEX(Table96[R.L.],MATCH(Table4[[#This Row],[MARK ID]],Table96[Point],0))),"")</f>
        <v>122.14686952479357</v>
      </c>
      <c r="M3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17.941484693302574</v>
      </c>
      <c r="N32" s="41" t="str">
        <f>IF(Input!$B$8=0,"",Input!$B$8)</f>
        <v/>
      </c>
      <c r="O32" s="34" t="s">
        <v>58</v>
      </c>
    </row>
    <row r="33" spans="2:15" s="57" customFormat="1" x14ac:dyDescent="0.2">
      <c r="B33" s="45" t="s">
        <v>360</v>
      </c>
      <c r="C33" s="41">
        <f>Input!$B$7</f>
        <v>25</v>
      </c>
      <c r="D33" s="42" t="str">
        <f>Input!$B$9</f>
        <v>LW903</v>
      </c>
      <c r="E33" s="42">
        <f>Input!$B$10</f>
        <v>1422</v>
      </c>
      <c r="F33" s="43">
        <f>Input!$B$5</f>
        <v>43900</v>
      </c>
      <c r="G33" s="34" t="s">
        <v>0</v>
      </c>
      <c r="H33" s="45" t="s">
        <v>92</v>
      </c>
      <c r="I33" s="34">
        <v>29</v>
      </c>
      <c r="J33" s="41">
        <f>IF(Input!$B$12="2D","",INDEX(Input!$I$21:$I$146,MATCH(Table4[[#This Row],[MARK ID]],Input!$H$21:$H$146,0)))</f>
        <v>286958.68079999997</v>
      </c>
      <c r="K33" s="41">
        <f>IF(Input!$B$12="2D","",INDEX(Input!$J$21:$J$146,MATCH(Table4[[#This Row],[MARK ID]],Input!$H$21:$H$146,0)))</f>
        <v>6215862.4945999999</v>
      </c>
      <c r="L33" s="24">
        <f>IFERROR(IF(Table4[[#This Row],[JOB NAME]]="A9MR",INDEX(Table9[R.L.],MATCH(Table4[[#This Row],[MARK ID]],Table9[Point],0)),INDEX(Table96[R.L.],MATCH(Table4[[#This Row],[MARK ID]],Table96[Point],0))),"")</f>
        <v>122.46424189049603</v>
      </c>
      <c r="M3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21.074421848533998</v>
      </c>
      <c r="N33" s="41" t="str">
        <f>IF(Input!$B$8=0,"",Input!$B$8)</f>
        <v/>
      </c>
      <c r="O33" s="34" t="s">
        <v>58</v>
      </c>
    </row>
    <row r="34" spans="2:15" s="57" customFormat="1" x14ac:dyDescent="0.2">
      <c r="B34" s="45" t="s">
        <v>360</v>
      </c>
      <c r="C34" s="41">
        <f>Input!$B$7</f>
        <v>25</v>
      </c>
      <c r="D34" s="42" t="str">
        <f>Input!$B$9</f>
        <v>LW903</v>
      </c>
      <c r="E34" s="42">
        <f>Input!$B$10</f>
        <v>1422</v>
      </c>
      <c r="F34" s="43">
        <f>Input!$B$5</f>
        <v>43900</v>
      </c>
      <c r="G34" s="34" t="s">
        <v>0</v>
      </c>
      <c r="H34" s="34" t="s">
        <v>93</v>
      </c>
      <c r="I34" s="34">
        <v>30</v>
      </c>
      <c r="J34" s="41">
        <f>IF(Input!$B$12="2D","",INDEX(Input!$I$21:$I$146,MATCH(Table4[[#This Row],[MARK ID]],Input!$H$21:$H$146,0)))</f>
        <v>286978.2157</v>
      </c>
      <c r="K34" s="41">
        <f>IF(Input!$B$12="2D","",INDEX(Input!$J$21:$J$146,MATCH(Table4[[#This Row],[MARK ID]],Input!$H$21:$H$146,0)))</f>
        <v>6215870.4100000001</v>
      </c>
      <c r="L34" s="24">
        <f>IFERROR(IF(Table4[[#This Row],[JOB NAME]]="A9MR",INDEX(Table9[R.L.],MATCH(Table4[[#This Row],[MARK ID]],Table9[Point],0)),INDEX(Table96[R.L.],MATCH(Table4[[#This Row],[MARK ID]],Table96[Point],0))),"")</f>
        <v>122.80461425619851</v>
      </c>
      <c r="M3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17.931944958649193</v>
      </c>
      <c r="N34" s="41" t="str">
        <f>IF(Input!$B$8=0,"",Input!$B$8)</f>
        <v/>
      </c>
      <c r="O34" s="34" t="s">
        <v>58</v>
      </c>
    </row>
    <row r="35" spans="2:15" s="57" customFormat="1" x14ac:dyDescent="0.2">
      <c r="B35" s="45" t="s">
        <v>360</v>
      </c>
      <c r="C35" s="41">
        <f>Input!$B$7</f>
        <v>25</v>
      </c>
      <c r="D35" s="42" t="str">
        <f>Input!$B$9</f>
        <v>LW903</v>
      </c>
      <c r="E35" s="42">
        <f>Input!$B$10</f>
        <v>1422</v>
      </c>
      <c r="F35" s="43">
        <f>Input!$B$5</f>
        <v>43900</v>
      </c>
      <c r="G35" s="34" t="s">
        <v>0</v>
      </c>
      <c r="H35" s="45" t="s">
        <v>94</v>
      </c>
      <c r="I35" s="34">
        <v>31</v>
      </c>
      <c r="J35" s="41">
        <f>IF(Input!$B$12="2D","",INDEX(Input!$I$21:$I$146,MATCH(Table4[[#This Row],[MARK ID]],Input!$H$21:$H$146,0)))</f>
        <v>286994.8688</v>
      </c>
      <c r="K35" s="41">
        <f>IF(Input!$B$12="2D","",INDEX(Input!$J$21:$J$146,MATCH(Table4[[#This Row],[MARK ID]],Input!$H$21:$H$146,0)))</f>
        <v>6215877.0673000002</v>
      </c>
      <c r="L35" s="24">
        <f>IFERROR(IF(Table4[[#This Row],[JOB NAME]]="A9MR",INDEX(Table9[R.L.],MATCH(Table4[[#This Row],[MARK ID]],Table9[Point],0)),INDEX(Table96[R.L.],MATCH(Table4[[#This Row],[MARK ID]],Table96[Point],0))),"")</f>
        <v>122.98348662190099</v>
      </c>
      <c r="M3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21.321615587238082</v>
      </c>
      <c r="N35" s="41" t="str">
        <f>IF(Input!$B$8=0,"",Input!$B$8)</f>
        <v/>
      </c>
      <c r="O35" s="34" t="s">
        <v>58</v>
      </c>
    </row>
    <row r="36" spans="2:15" s="57" customFormat="1" x14ac:dyDescent="0.2">
      <c r="B36" s="45" t="s">
        <v>360</v>
      </c>
      <c r="C36" s="41">
        <f>Input!$B$7</f>
        <v>25</v>
      </c>
      <c r="D36" s="42" t="str">
        <f>Input!$B$9</f>
        <v>LW903</v>
      </c>
      <c r="E36" s="42">
        <f>Input!$B$10</f>
        <v>1422</v>
      </c>
      <c r="F36" s="43">
        <f>Input!$B$5</f>
        <v>43900</v>
      </c>
      <c r="G36" s="34" t="s">
        <v>0</v>
      </c>
      <c r="H36" s="34" t="s">
        <v>95</v>
      </c>
      <c r="I36" s="34">
        <v>32</v>
      </c>
      <c r="J36" s="41">
        <f>IF(Input!$B$12="2D","",INDEX(Input!$I$21:$I$146,MATCH(Table4[[#This Row],[MARK ID]],Input!$H$21:$H$146,0)))</f>
        <v>287014.65230000002</v>
      </c>
      <c r="K36" s="41">
        <f>IF(Input!$B$12="2D","",INDEX(Input!$J$21:$J$146,MATCH(Table4[[#This Row],[MARK ID]],Input!$H$21:$H$146,0)))</f>
        <v>6215885.0244000005</v>
      </c>
      <c r="L36" s="24">
        <f>IFERROR(IF(Table4[[#This Row],[JOB NAME]]="A9MR",INDEX(Table9[R.L.],MATCH(Table4[[#This Row],[MARK ID]],Table9[Point],0)),INDEX(Table96[R.L.],MATCH(Table4[[#This Row],[MARK ID]],Table96[Point],0))),"")</f>
        <v>123.56785898760347</v>
      </c>
      <c r="M3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20.743078809570417</v>
      </c>
      <c r="N36" s="41" t="str">
        <f>IF(Input!$B$8=0,"",Input!$B$8)</f>
        <v/>
      </c>
      <c r="O36" s="34" t="s">
        <v>58</v>
      </c>
    </row>
    <row r="37" spans="2:15" s="57" customFormat="1" x14ac:dyDescent="0.2">
      <c r="B37" s="45" t="s">
        <v>360</v>
      </c>
      <c r="C37" s="41">
        <f>Input!$B$7</f>
        <v>25</v>
      </c>
      <c r="D37" s="42" t="str">
        <f>Input!$B$9</f>
        <v>LW903</v>
      </c>
      <c r="E37" s="42">
        <f>Input!$B$10</f>
        <v>1422</v>
      </c>
      <c r="F37" s="43">
        <f>Input!$B$5</f>
        <v>43900</v>
      </c>
      <c r="G37" s="34" t="s">
        <v>0</v>
      </c>
      <c r="H37" s="45" t="s">
        <v>96</v>
      </c>
      <c r="I37" s="34">
        <v>33</v>
      </c>
      <c r="J37" s="41">
        <f>IF(Input!$B$12="2D","",INDEX(Input!$I$21:$I$146,MATCH(Table4[[#This Row],[MARK ID]],Input!$H$21:$H$146,0)))</f>
        <v>287033.88929999998</v>
      </c>
      <c r="K37" s="41">
        <f>IF(Input!$B$12="2D","",INDEX(Input!$J$21:$J$146,MATCH(Table4[[#This Row],[MARK ID]],Input!$H$21:$H$146,0)))</f>
        <v>6215892.7911999999</v>
      </c>
      <c r="L37" s="24">
        <f>IFERROR(IF(Table4[[#This Row],[JOB NAME]]="A9MR",INDEX(Table9[R.L.],MATCH(Table4[[#This Row],[MARK ID]],Table9[Point],0)),INDEX(Table96[R.L.],MATCH(Table4[[#This Row],[MARK ID]],Table96[Point],0))),"")</f>
        <v>124.06823135330595</v>
      </c>
      <c r="M3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17.926485217408885</v>
      </c>
      <c r="N37" s="41" t="str">
        <f>IF(Input!$B$8=0,"",Input!$B$8)</f>
        <v/>
      </c>
      <c r="O37" s="34" t="s">
        <v>58</v>
      </c>
    </row>
    <row r="38" spans="2:15" s="57" customFormat="1" x14ac:dyDescent="0.2">
      <c r="B38" s="45" t="s">
        <v>360</v>
      </c>
      <c r="C38" s="41">
        <f>Input!$B$7</f>
        <v>25</v>
      </c>
      <c r="D38" s="42" t="str">
        <f>Input!$B$9</f>
        <v>LW903</v>
      </c>
      <c r="E38" s="42">
        <f>Input!$B$10</f>
        <v>1422</v>
      </c>
      <c r="F38" s="43">
        <f>Input!$B$5</f>
        <v>43900</v>
      </c>
      <c r="G38" s="34" t="s">
        <v>0</v>
      </c>
      <c r="H38" s="34" t="s">
        <v>97</v>
      </c>
      <c r="I38" s="34">
        <v>34</v>
      </c>
      <c r="J38" s="41">
        <f>IF(Input!$B$12="2D","",INDEX(Input!$I$21:$I$146,MATCH(Table4[[#This Row],[MARK ID]],Input!$H$21:$H$146,0)))</f>
        <v>287050.5086</v>
      </c>
      <c r="K38" s="41">
        <f>IF(Input!$B$12="2D","",INDEX(Input!$J$21:$J$146,MATCH(Table4[[#This Row],[MARK ID]],Input!$H$21:$H$146,0)))</f>
        <v>6215899.5185000002</v>
      </c>
      <c r="L38" s="24">
        <f>IFERROR(IF(Table4[[#This Row],[JOB NAME]]="A9MR",INDEX(Table9[R.L.],MATCH(Table4[[#This Row],[MARK ID]],Table9[Point],0)),INDEX(Table96[R.L.],MATCH(Table4[[#This Row],[MARK ID]],Table96[Point],0))),"")</f>
        <v>124.41260371900844</v>
      </c>
      <c r="M3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20.919158569359428</v>
      </c>
      <c r="N38" s="41" t="str">
        <f>IF(Input!$B$8=0,"",Input!$B$8)</f>
        <v/>
      </c>
      <c r="O38" s="34" t="s">
        <v>58</v>
      </c>
    </row>
    <row r="39" spans="2:15" s="57" customFormat="1" x14ac:dyDescent="0.2">
      <c r="B39" s="45" t="s">
        <v>360</v>
      </c>
      <c r="C39" s="41">
        <f>Input!$B$7</f>
        <v>25</v>
      </c>
      <c r="D39" s="42" t="str">
        <f>Input!$B$9</f>
        <v>LW903</v>
      </c>
      <c r="E39" s="42">
        <f>Input!$B$10</f>
        <v>1422</v>
      </c>
      <c r="F39" s="43">
        <f>Input!$B$5</f>
        <v>43900</v>
      </c>
      <c r="G39" s="34" t="s">
        <v>0</v>
      </c>
      <c r="H39" s="45" t="s">
        <v>98</v>
      </c>
      <c r="I39" s="34">
        <v>35</v>
      </c>
      <c r="J39" s="41">
        <f>IF(Input!$B$12="2D","",INDEX(Input!$I$21:$I$146,MATCH(Table4[[#This Row],[MARK ID]],Input!$H$21:$H$146,0)))</f>
        <v>287069.81719999999</v>
      </c>
      <c r="K39" s="41">
        <f>IF(Input!$B$12="2D","",INDEX(Input!$J$21:$J$146,MATCH(Table4[[#This Row],[MARK ID]],Input!$H$21:$H$146,0)))</f>
        <v>6215907.5738000004</v>
      </c>
      <c r="L39" s="24">
        <f>IFERROR(IF(Table4[[#This Row],[JOB NAME]]="A9MR",INDEX(Table9[R.L.],MATCH(Table4[[#This Row],[MARK ID]],Table9[Point],0)),INDEX(Table96[R.L.],MATCH(Table4[[#This Row],[MARK ID]],Table96[Point],0))),"")</f>
        <v>124.8664760847109</v>
      </c>
      <c r="M3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20.977588910549354</v>
      </c>
      <c r="N39" s="41" t="str">
        <f>IF(Input!$B$8=0,"",Input!$B$8)</f>
        <v/>
      </c>
      <c r="O39" s="34" t="s">
        <v>58</v>
      </c>
    </row>
    <row r="40" spans="2:15" s="57" customFormat="1" x14ac:dyDescent="0.2">
      <c r="B40" s="45" t="s">
        <v>360</v>
      </c>
      <c r="C40" s="41">
        <f>Input!$B$7</f>
        <v>25</v>
      </c>
      <c r="D40" s="42" t="str">
        <f>Input!$B$9</f>
        <v>LW903</v>
      </c>
      <c r="E40" s="42">
        <f>Input!$B$10</f>
        <v>1422</v>
      </c>
      <c r="F40" s="43">
        <f>Input!$B$5</f>
        <v>43900</v>
      </c>
      <c r="G40" s="34" t="s">
        <v>0</v>
      </c>
      <c r="H40" s="34" t="s">
        <v>99</v>
      </c>
      <c r="I40" s="34">
        <v>36</v>
      </c>
      <c r="J40" s="41">
        <f>IF(Input!$B$12="2D","",INDEX(Input!$I$21:$I$146,MATCH(Table4[[#This Row],[MARK ID]],Input!$H$21:$H$146,0)))</f>
        <v>287089.4142</v>
      </c>
      <c r="K40" s="41">
        <f>IF(Input!$B$12="2D","",INDEX(Input!$J$21:$J$146,MATCH(Table4[[#This Row],[MARK ID]],Input!$H$21:$H$146,0)))</f>
        <v>6215915.0678000003</v>
      </c>
      <c r="L40" s="24">
        <f>IFERROR(IF(Table4[[#This Row],[JOB NAME]]="A9MR",INDEX(Table9[R.L.],MATCH(Table4[[#This Row],[MARK ID]],Table9[Point],0)),INDEX(Table96[R.L.],MATCH(Table4[[#This Row],[MARK ID]],Table96[Point],0))),"")</f>
        <v>125.13434845041341</v>
      </c>
      <c r="M4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18.180898802038751</v>
      </c>
      <c r="N40" s="41" t="str">
        <f>IF(Input!$B$8=0,"",Input!$B$8)</f>
        <v/>
      </c>
      <c r="O40" s="34" t="s">
        <v>58</v>
      </c>
    </row>
    <row r="41" spans="2:15" s="57" customFormat="1" x14ac:dyDescent="0.2">
      <c r="B41" s="45" t="s">
        <v>360</v>
      </c>
      <c r="C41" s="41">
        <f>Input!$B$7</f>
        <v>25</v>
      </c>
      <c r="D41" s="42" t="str">
        <f>Input!$B$9</f>
        <v>LW903</v>
      </c>
      <c r="E41" s="42">
        <f>Input!$B$10</f>
        <v>1422</v>
      </c>
      <c r="F41" s="43">
        <f>Input!$B$5</f>
        <v>43900</v>
      </c>
      <c r="G41" s="34" t="s">
        <v>0</v>
      </c>
      <c r="H41" s="45" t="s">
        <v>100</v>
      </c>
      <c r="I41" s="34">
        <v>37</v>
      </c>
      <c r="J41" s="41">
        <f>IF(Input!$B$12="2D","",INDEX(Input!$I$21:$I$146,MATCH(Table4[[#This Row],[MARK ID]],Input!$H$21:$H$146,0)))</f>
        <v>287105.95899999997</v>
      </c>
      <c r="K41" s="41">
        <f>IF(Input!$B$12="2D","",INDEX(Input!$J$21:$J$146,MATCH(Table4[[#This Row],[MARK ID]],Input!$H$21:$H$146,0)))</f>
        <v>6215922.6109999996</v>
      </c>
      <c r="L41" s="24">
        <f>IFERROR(IF(Table4[[#This Row],[JOB NAME]]="A9MR",INDEX(Table9[R.L.],MATCH(Table4[[#This Row],[MARK ID]],Table9[Point],0)),INDEX(Table96[R.L.],MATCH(Table4[[#This Row],[MARK ID]],Table96[Point],0))),"")</f>
        <v>125.63922081611589</v>
      </c>
      <c r="M4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20.783578499624507</v>
      </c>
      <c r="N41" s="41" t="str">
        <f>IF(Input!$B$8=0,"",Input!$B$8)</f>
        <v/>
      </c>
      <c r="O41" s="34" t="s">
        <v>58</v>
      </c>
    </row>
    <row r="42" spans="2:15" s="57" customFormat="1" x14ac:dyDescent="0.2">
      <c r="B42" s="45" t="s">
        <v>360</v>
      </c>
      <c r="C42" s="41">
        <f>Input!$B$7</f>
        <v>25</v>
      </c>
      <c r="D42" s="42" t="str">
        <f>Input!$B$9</f>
        <v>LW903</v>
      </c>
      <c r="E42" s="42">
        <f>Input!$B$10</f>
        <v>1422</v>
      </c>
      <c r="F42" s="43">
        <f>Input!$B$5</f>
        <v>43900</v>
      </c>
      <c r="G42" s="34" t="s">
        <v>0</v>
      </c>
      <c r="H42" s="34" t="s">
        <v>101</v>
      </c>
      <c r="I42" s="34">
        <v>38</v>
      </c>
      <c r="J42" s="41">
        <f>IF(Input!$B$12="2D","",INDEX(Input!$I$21:$I$146,MATCH(Table4[[#This Row],[MARK ID]],Input!$H$21:$H$146,0)))</f>
        <v>287124.89600000001</v>
      </c>
      <c r="K42" s="41">
        <f>IF(Input!$B$12="2D","",INDEX(Input!$J$21:$J$146,MATCH(Table4[[#This Row],[MARK ID]],Input!$H$21:$H$146,0)))</f>
        <v>6215931.1820999999</v>
      </c>
      <c r="L42" s="24">
        <f>IFERROR(IF(Table4[[#This Row],[JOB NAME]]="A9MR",INDEX(Table9[R.L.],MATCH(Table4[[#This Row],[MARK ID]],Table9[Point],0)),INDEX(Table96[R.L.],MATCH(Table4[[#This Row],[MARK ID]],Table96[Point],0))),"")</f>
        <v>126.46859318181836</v>
      </c>
      <c r="M4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20.724628012342066</v>
      </c>
      <c r="N42" s="41" t="str">
        <f>IF(Input!$B$8=0,"",Input!$B$8)</f>
        <v/>
      </c>
      <c r="O42" s="34" t="s">
        <v>58</v>
      </c>
    </row>
    <row r="43" spans="2:15" s="57" customFormat="1" x14ac:dyDescent="0.2">
      <c r="B43" s="45" t="s">
        <v>360</v>
      </c>
      <c r="C43" s="41">
        <f>Input!$B$7</f>
        <v>25</v>
      </c>
      <c r="D43" s="42" t="str">
        <f>Input!$B$9</f>
        <v>LW903</v>
      </c>
      <c r="E43" s="42">
        <f>Input!$B$10</f>
        <v>1422</v>
      </c>
      <c r="F43" s="43">
        <f>Input!$B$5</f>
        <v>43900</v>
      </c>
      <c r="G43" s="34" t="s">
        <v>0</v>
      </c>
      <c r="H43" s="45" t="s">
        <v>102</v>
      </c>
      <c r="I43" s="34">
        <v>39</v>
      </c>
      <c r="J43" s="41">
        <f>IF(Input!$B$12="2D","",INDEX(Input!$I$21:$I$146,MATCH(Table4[[#This Row],[MARK ID]],Input!$H$21:$H$146,0)))</f>
        <v>287143.75790000003</v>
      </c>
      <c r="K43" s="41">
        <f>IF(Input!$B$12="2D","",INDEX(Input!$J$21:$J$146,MATCH(Table4[[#This Row],[MARK ID]],Input!$H$21:$H$146,0)))</f>
        <v>6215939.7774</v>
      </c>
      <c r="L43" s="24">
        <f>IFERROR(IF(Table4[[#This Row],[JOB NAME]]="A9MR",INDEX(Table9[R.L.],MATCH(Table4[[#This Row],[MARK ID]],Table9[Point],0)),INDEX(Table96[R.L.],MATCH(Table4[[#This Row],[MARK ID]],Table96[Point],0))),"")</f>
        <v>126.96696554752081</v>
      </c>
      <c r="M4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17.910021810427693</v>
      </c>
      <c r="N43" s="41" t="str">
        <f>IF(Input!$B$8=0,"",Input!$B$8)</f>
        <v/>
      </c>
      <c r="O43" s="34" t="s">
        <v>58</v>
      </c>
    </row>
    <row r="44" spans="2:15" s="57" customFormat="1" x14ac:dyDescent="0.2">
      <c r="B44" s="45" t="s">
        <v>360</v>
      </c>
      <c r="C44" s="41">
        <f>Input!$B$7</f>
        <v>25</v>
      </c>
      <c r="D44" s="42" t="str">
        <f>Input!$B$9</f>
        <v>LW903</v>
      </c>
      <c r="E44" s="42">
        <f>Input!$B$10</f>
        <v>1422</v>
      </c>
      <c r="F44" s="43">
        <f>Input!$B$5</f>
        <v>43900</v>
      </c>
      <c r="G44" s="34" t="s">
        <v>0</v>
      </c>
      <c r="H44" s="34" t="s">
        <v>103</v>
      </c>
      <c r="I44" s="34">
        <v>40</v>
      </c>
      <c r="J44" s="41">
        <f>IF(Input!$B$12="2D","",INDEX(Input!$I$21:$I$146,MATCH(Table4[[#This Row],[MARK ID]],Input!$H$21:$H$146,0)))</f>
        <v>287160.05239999999</v>
      </c>
      <c r="K44" s="41">
        <f>IF(Input!$B$12="2D","",INDEX(Input!$J$21:$J$146,MATCH(Table4[[#This Row],[MARK ID]],Input!$H$21:$H$146,0)))</f>
        <v>6215947.2160999998</v>
      </c>
      <c r="L44" s="24">
        <f>IFERROR(IF(Table4[[#This Row],[JOB NAME]]="A9MR",INDEX(Table9[R.L.],MATCH(Table4[[#This Row],[MARK ID]],Table9[Point],0)),INDEX(Table96[R.L.],MATCH(Table4[[#This Row],[MARK ID]],Table96[Point],0))),"")</f>
        <v>127.34533791322333</v>
      </c>
      <c r="M4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20.862158960664473</v>
      </c>
      <c r="N44" s="41" t="str">
        <f>IF(Input!$B$8=0,"",Input!$B$8)</f>
        <v/>
      </c>
      <c r="O44" s="34" t="s">
        <v>58</v>
      </c>
    </row>
    <row r="45" spans="2:15" s="57" customFormat="1" x14ac:dyDescent="0.2">
      <c r="B45" s="45" t="s">
        <v>360</v>
      </c>
      <c r="C45" s="41">
        <f>Input!$B$7</f>
        <v>25</v>
      </c>
      <c r="D45" s="42" t="str">
        <f>Input!$B$9</f>
        <v>LW903</v>
      </c>
      <c r="E45" s="42">
        <f>Input!$B$10</f>
        <v>1422</v>
      </c>
      <c r="F45" s="43">
        <f>Input!$B$5</f>
        <v>43900</v>
      </c>
      <c r="G45" s="34" t="s">
        <v>0</v>
      </c>
      <c r="H45" s="45" t="s">
        <v>104</v>
      </c>
      <c r="I45" s="34">
        <v>41</v>
      </c>
      <c r="J45" s="41">
        <f>IF(Input!$B$12="2D","",INDEX(Input!$I$21:$I$146,MATCH(Table4[[#This Row],[MARK ID]],Input!$H$21:$H$146,0)))</f>
        <v>287179.04430000001</v>
      </c>
      <c r="K45" s="41">
        <f>IF(Input!$B$12="2D","",INDEX(Input!$J$21:$J$146,MATCH(Table4[[#This Row],[MARK ID]],Input!$H$21:$H$146,0)))</f>
        <v>6215955.8568000002</v>
      </c>
      <c r="L45" s="24">
        <f>IFERROR(IF(Table4[[#This Row],[JOB NAME]]="A9MR",INDEX(Table9[R.L.],MATCH(Table4[[#This Row],[MARK ID]],Table9[Point],0)),INDEX(Table96[R.L.],MATCH(Table4[[#This Row],[MARK ID]],Table96[Point],0))),"")</f>
        <v>127.61671027892579</v>
      </c>
      <c r="M4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20.602764043933501</v>
      </c>
      <c r="N45" s="41" t="str">
        <f>IF(Input!$B$8=0,"",Input!$B$8)</f>
        <v/>
      </c>
      <c r="O45" s="34" t="s">
        <v>58</v>
      </c>
    </row>
    <row r="46" spans="2:15" s="57" customFormat="1" x14ac:dyDescent="0.2">
      <c r="B46" s="45" t="s">
        <v>360</v>
      </c>
      <c r="C46" s="41">
        <f>Input!$B$7</f>
        <v>25</v>
      </c>
      <c r="D46" s="42" t="str">
        <f>Input!$B$9</f>
        <v>LW903</v>
      </c>
      <c r="E46" s="42">
        <f>Input!$B$10</f>
        <v>1422</v>
      </c>
      <c r="F46" s="43">
        <f>Input!$B$5</f>
        <v>43900</v>
      </c>
      <c r="G46" s="34" t="s">
        <v>0</v>
      </c>
      <c r="H46" s="34" t="s">
        <v>105</v>
      </c>
      <c r="I46" s="34">
        <v>42</v>
      </c>
      <c r="J46" s="41">
        <f>IF(Input!$B$12="2D","",INDEX(Input!$I$21:$I$146,MATCH(Table4[[#This Row],[MARK ID]],Input!$H$21:$H$146,0)))</f>
        <v>287197.79739999998</v>
      </c>
      <c r="K46" s="41">
        <f>IF(Input!$B$12="2D","",INDEX(Input!$J$21:$J$146,MATCH(Table4[[#This Row],[MARK ID]],Input!$H$21:$H$146,0)))</f>
        <v>6215964.3949999996</v>
      </c>
      <c r="L46" s="24">
        <f>IFERROR(IF(Table4[[#This Row],[JOB NAME]]="A9MR",INDEX(Table9[R.L.],MATCH(Table4[[#This Row],[MARK ID]],Table9[Point],0)),INDEX(Table96[R.L.],MATCH(Table4[[#This Row],[MARK ID]],Table96[Point],0))),"")</f>
        <v>128.15958264462824</v>
      </c>
      <c r="M4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20.692035164526214</v>
      </c>
      <c r="N46" s="41" t="str">
        <f>IF(Input!$B$8=0,"",Input!$B$8)</f>
        <v/>
      </c>
      <c r="O46" s="34" t="s">
        <v>58</v>
      </c>
    </row>
    <row r="47" spans="2:15" s="57" customFormat="1" x14ac:dyDescent="0.2">
      <c r="B47" s="45" t="s">
        <v>360</v>
      </c>
      <c r="C47" s="41">
        <f>Input!$B$7</f>
        <v>25</v>
      </c>
      <c r="D47" s="42" t="str">
        <f>Input!$B$9</f>
        <v>LW903</v>
      </c>
      <c r="E47" s="42">
        <f>Input!$B$10</f>
        <v>1422</v>
      </c>
      <c r="F47" s="43">
        <f>Input!$B$5</f>
        <v>43900</v>
      </c>
      <c r="G47" s="34" t="s">
        <v>0</v>
      </c>
      <c r="H47" s="45" t="s">
        <v>106</v>
      </c>
      <c r="I47" s="34">
        <v>43</v>
      </c>
      <c r="J47" s="41">
        <f>IF(Input!$B$12="2D","",INDEX(Input!$I$21:$I$146,MATCH(Table4[[#This Row],[MARK ID]],Input!$H$21:$H$146,0)))</f>
        <v>287216.80379999999</v>
      </c>
      <c r="K47" s="41">
        <f>IF(Input!$B$12="2D","",INDEX(Input!$J$21:$J$146,MATCH(Table4[[#This Row],[MARK ID]],Input!$H$21:$H$146,0)))</f>
        <v>6215972.5817999998</v>
      </c>
      <c r="L47" s="24">
        <f>IFERROR(IF(Table4[[#This Row],[JOB NAME]]="A9MR",INDEX(Table9[R.L.],MATCH(Table4[[#This Row],[MARK ID]],Table9[Point],0)),INDEX(Table96[R.L.],MATCH(Table4[[#This Row],[MARK ID]],Table96[Point],0))),"")</f>
        <v>128.82345501033078</v>
      </c>
      <c r="M4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17.994481716627082</v>
      </c>
      <c r="N47" s="41" t="str">
        <f>IF(Input!$B$8=0,"",Input!$B$8)</f>
        <v/>
      </c>
      <c r="O47" s="34" t="s">
        <v>58</v>
      </c>
    </row>
    <row r="48" spans="2:15" s="57" customFormat="1" x14ac:dyDescent="0.2">
      <c r="B48" s="45" t="s">
        <v>360</v>
      </c>
      <c r="C48" s="41">
        <f>Input!$B$7</f>
        <v>25</v>
      </c>
      <c r="D48" s="42" t="str">
        <f>Input!$B$9</f>
        <v>LW903</v>
      </c>
      <c r="E48" s="42">
        <f>Input!$B$10</f>
        <v>1422</v>
      </c>
      <c r="F48" s="43">
        <f>Input!$B$5</f>
        <v>43900</v>
      </c>
      <c r="G48" s="34" t="s">
        <v>0</v>
      </c>
      <c r="H48" s="34" t="s">
        <v>107</v>
      </c>
      <c r="I48" s="34">
        <v>44</v>
      </c>
      <c r="J48" s="41">
        <f>IF(Input!$B$12="2D","",INDEX(Input!$I$21:$I$146,MATCH(Table4[[#This Row],[MARK ID]],Input!$H$21:$H$146,0)))</f>
        <v>287233.02510000003</v>
      </c>
      <c r="K48" s="41">
        <f>IF(Input!$B$12="2D","",INDEX(Input!$J$21:$J$146,MATCH(Table4[[#This Row],[MARK ID]],Input!$H$21:$H$146,0)))</f>
        <v>6215980.3775000004</v>
      </c>
      <c r="L48" s="24">
        <f>IFERROR(IF(Table4[[#This Row],[JOB NAME]]="A9MR",INDEX(Table9[R.L.],MATCH(Table4[[#This Row],[MARK ID]],Table9[Point],0)),INDEX(Table96[R.L.],MATCH(Table4[[#This Row],[MARK ID]],Table96[Point],0))),"")</f>
        <v>129.25432737603322</v>
      </c>
      <c r="M4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20.659946182165143</v>
      </c>
      <c r="N48" s="41" t="str">
        <f>IF(Input!$B$8=0,"",Input!$B$8)</f>
        <v/>
      </c>
      <c r="O48" s="34" t="s">
        <v>58</v>
      </c>
    </row>
    <row r="49" spans="2:15" s="57" customFormat="1" x14ac:dyDescent="0.2">
      <c r="B49" s="45" t="s">
        <v>360</v>
      </c>
      <c r="C49" s="41">
        <f>Input!$B$7</f>
        <v>25</v>
      </c>
      <c r="D49" s="42" t="str">
        <f>Input!$B$9</f>
        <v>LW903</v>
      </c>
      <c r="E49" s="42">
        <f>Input!$B$10</f>
        <v>1422</v>
      </c>
      <c r="F49" s="43">
        <f>Input!$B$5</f>
        <v>43900</v>
      </c>
      <c r="G49" s="34" t="s">
        <v>0</v>
      </c>
      <c r="H49" s="45" t="s">
        <v>108</v>
      </c>
      <c r="I49" s="34">
        <v>45</v>
      </c>
      <c r="J49" s="41">
        <f>IF(Input!$B$12="2D","",INDEX(Input!$I$21:$I$146,MATCH(Table4[[#This Row],[MARK ID]],Input!$H$21:$H$146,0)))</f>
        <v>287251.84019999998</v>
      </c>
      <c r="K49" s="41">
        <f>IF(Input!$B$12="2D","",INDEX(Input!$J$21:$J$146,MATCH(Table4[[#This Row],[MARK ID]],Input!$H$21:$H$146,0)))</f>
        <v>6215988.9183</v>
      </c>
      <c r="L49" s="24">
        <f>IFERROR(IF(Table4[[#This Row],[JOB NAME]]="A9MR",INDEX(Table9[R.L.],MATCH(Table4[[#This Row],[MARK ID]],Table9[Point],0)),INDEX(Table96[R.L.],MATCH(Table4[[#This Row],[MARK ID]],Table96[Point],0))),"")</f>
        <v>130.00219974173572</v>
      </c>
      <c r="M4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20.933373270928897</v>
      </c>
      <c r="N49" s="41" t="str">
        <f>IF(Input!$B$8=0,"",Input!$B$8)</f>
        <v/>
      </c>
      <c r="O49" s="34" t="s">
        <v>58</v>
      </c>
    </row>
    <row r="50" spans="2:15" s="57" customFormat="1" x14ac:dyDescent="0.2">
      <c r="B50" s="45" t="s">
        <v>360</v>
      </c>
      <c r="C50" s="41">
        <f>Input!$B$7</f>
        <v>25</v>
      </c>
      <c r="D50" s="42" t="str">
        <f>Input!$B$9</f>
        <v>LW903</v>
      </c>
      <c r="E50" s="42">
        <f>Input!$B$10</f>
        <v>1422</v>
      </c>
      <c r="F50" s="43">
        <f>Input!$B$5</f>
        <v>43900</v>
      </c>
      <c r="G50" s="34" t="s">
        <v>0</v>
      </c>
      <c r="H50" s="34" t="s">
        <v>109</v>
      </c>
      <c r="I50" s="34">
        <v>46</v>
      </c>
      <c r="J50" s="41">
        <f>IF(Input!$B$12="2D","",INDEX(Input!$I$21:$I$146,MATCH(Table4[[#This Row],[MARK ID]],Input!$H$21:$H$146,0)))</f>
        <v>287270.90350000001</v>
      </c>
      <c r="K50" s="41">
        <f>IF(Input!$B$12="2D","",INDEX(Input!$J$21:$J$146,MATCH(Table4[[#This Row],[MARK ID]],Input!$H$21:$H$146,0)))</f>
        <v>6215997.5732000005</v>
      </c>
      <c r="L50" s="24">
        <f>IFERROR(IF(Table4[[#This Row],[JOB NAME]]="A9MR",INDEX(Table9[R.L.],MATCH(Table4[[#This Row],[MARK ID]],Table9[Point],0)),INDEX(Table96[R.L.],MATCH(Table4[[#This Row],[MARK ID]],Table96[Point],0))),"")</f>
        <v>130.56707210743821</v>
      </c>
      <c r="M5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17.835824987928412</v>
      </c>
      <c r="N50" s="41" t="str">
        <f>IF(Input!$B$8=0,"",Input!$B$8)</f>
        <v/>
      </c>
      <c r="O50" s="34" t="s">
        <v>58</v>
      </c>
    </row>
    <row r="51" spans="2:15" s="57" customFormat="1" x14ac:dyDescent="0.2">
      <c r="B51" s="45" t="s">
        <v>360</v>
      </c>
      <c r="C51" s="41">
        <f>Input!$B$7</f>
        <v>25</v>
      </c>
      <c r="D51" s="42" t="str">
        <f>Input!$B$9</f>
        <v>LW903</v>
      </c>
      <c r="E51" s="42">
        <f>Input!$B$10</f>
        <v>1422</v>
      </c>
      <c r="F51" s="43">
        <f>Input!$B$5</f>
        <v>43900</v>
      </c>
      <c r="G51" s="34" t="s">
        <v>0</v>
      </c>
      <c r="H51" s="45" t="s">
        <v>110</v>
      </c>
      <c r="I51" s="34">
        <v>47</v>
      </c>
      <c r="J51" s="41">
        <f>IF(Input!$B$12="2D","",INDEX(Input!$I$21:$I$146,MATCH(Table4[[#This Row],[MARK ID]],Input!$H$21:$H$146,0)))</f>
        <v>287287.10440000001</v>
      </c>
      <c r="K51" s="41">
        <f>IF(Input!$B$12="2D","",INDEX(Input!$J$21:$J$146,MATCH(Table4[[#This Row],[MARK ID]],Input!$H$21:$H$146,0)))</f>
        <v>6216005.0384999998</v>
      </c>
      <c r="L51" s="24">
        <f>IFERROR(IF(Table4[[#This Row],[JOB NAME]]="A9MR",INDEX(Table9[R.L.],MATCH(Table4[[#This Row],[MARK ID]],Table9[Point],0)),INDEX(Table96[R.L.],MATCH(Table4[[#This Row],[MARK ID]],Table96[Point],0))),"")</f>
        <v>131.18244447314066</v>
      </c>
      <c r="M5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20.890803586745054</v>
      </c>
      <c r="N51" s="41" t="str">
        <f>IF(Input!$B$8=0,"",Input!$B$8)</f>
        <v/>
      </c>
      <c r="O51" s="34" t="s">
        <v>58</v>
      </c>
    </row>
    <row r="52" spans="2:15" s="57" customFormat="1" x14ac:dyDescent="0.2">
      <c r="B52" s="45" t="s">
        <v>360</v>
      </c>
      <c r="C52" s="41">
        <f>Input!$B$7</f>
        <v>25</v>
      </c>
      <c r="D52" s="42" t="str">
        <f>Input!$B$9</f>
        <v>LW903</v>
      </c>
      <c r="E52" s="42">
        <f>Input!$B$10</f>
        <v>1422</v>
      </c>
      <c r="F52" s="43">
        <f>Input!$B$5</f>
        <v>43900</v>
      </c>
      <c r="G52" s="34" t="s">
        <v>0</v>
      </c>
      <c r="H52" s="34" t="s">
        <v>111</v>
      </c>
      <c r="I52" s="34">
        <v>48</v>
      </c>
      <c r="J52" s="41">
        <f>IF(Input!$B$12="2D","",INDEX(Input!$I$21:$I$146,MATCH(Table4[[#This Row],[MARK ID]],Input!$H$21:$H$146,0)))</f>
        <v>287306.11050000001</v>
      </c>
      <c r="K52" s="41">
        <f>IF(Input!$B$12="2D","",INDEX(Input!$J$21:$J$146,MATCH(Table4[[#This Row],[MARK ID]],Input!$H$21:$H$146,0)))</f>
        <v>6216013.7172999997</v>
      </c>
      <c r="L52" s="24">
        <f>IFERROR(IF(Table4[[#This Row],[JOB NAME]]="A9MR",INDEX(Table9[R.L.],MATCH(Table4[[#This Row],[MARK ID]],Table9[Point],0)),INDEX(Table96[R.L.],MATCH(Table4[[#This Row],[MARK ID]],Table96[Point],0))),"")</f>
        <v>131.83481683884318</v>
      </c>
      <c r="M5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20.885468183644836</v>
      </c>
      <c r="N52" s="41" t="str">
        <f>IF(Input!$B$8=0,"",Input!$B$8)</f>
        <v/>
      </c>
      <c r="O52" s="34" t="s">
        <v>58</v>
      </c>
    </row>
    <row r="53" spans="2:15" s="57" customFormat="1" x14ac:dyDescent="0.2">
      <c r="B53" s="45" t="s">
        <v>360</v>
      </c>
      <c r="C53" s="41">
        <f>Input!$B$7</f>
        <v>25</v>
      </c>
      <c r="D53" s="42" t="str">
        <f>Input!$B$9</f>
        <v>LW903</v>
      </c>
      <c r="E53" s="42">
        <f>Input!$B$10</f>
        <v>1422</v>
      </c>
      <c r="F53" s="43">
        <f>Input!$B$5</f>
        <v>43900</v>
      </c>
      <c r="G53" s="34" t="s">
        <v>0</v>
      </c>
      <c r="H53" s="45" t="s">
        <v>112</v>
      </c>
      <c r="I53" s="34">
        <v>49</v>
      </c>
      <c r="J53" s="41">
        <f>IF(Input!$B$12="2D","",INDEX(Input!$I$21:$I$146,MATCH(Table4[[#This Row],[MARK ID]],Input!$H$21:$H$146,0)))</f>
        <v>287325.13030000002</v>
      </c>
      <c r="K53" s="41">
        <f>IF(Input!$B$12="2D","",INDEX(Input!$J$21:$J$146,MATCH(Table4[[#This Row],[MARK ID]],Input!$H$21:$H$146,0)))</f>
        <v>6216022.3525</v>
      </c>
      <c r="L53" s="24">
        <f>IFERROR(IF(Table4[[#This Row],[JOB NAME]]="A9MR",INDEX(Table9[R.L.],MATCH(Table4[[#This Row],[MARK ID]],Table9[Point],0)),INDEX(Table96[R.L.],MATCH(Table4[[#This Row],[MARK ID]],Table96[Point],0))),"")</f>
        <v>132.50318920454566</v>
      </c>
      <c r="M5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20.88086324843859</v>
      </c>
      <c r="N53" s="41" t="str">
        <f>IF(Input!$B$8=0,"",Input!$B$8)</f>
        <v/>
      </c>
      <c r="O53" s="34" t="s">
        <v>58</v>
      </c>
    </row>
    <row r="54" spans="2:15" s="57" customFormat="1" x14ac:dyDescent="0.2">
      <c r="B54" s="45" t="s">
        <v>360</v>
      </c>
      <c r="C54" s="41">
        <f>Input!$B$7</f>
        <v>25</v>
      </c>
      <c r="D54" s="42" t="str">
        <f>Input!$B$9</f>
        <v>LW903</v>
      </c>
      <c r="E54" s="42">
        <f>Input!$B$10</f>
        <v>1422</v>
      </c>
      <c r="F54" s="43">
        <f>Input!$B$5</f>
        <v>43900</v>
      </c>
      <c r="G54" s="34" t="s">
        <v>0</v>
      </c>
      <c r="H54" s="34" t="s">
        <v>113</v>
      </c>
      <c r="I54" s="34">
        <v>50</v>
      </c>
      <c r="J54" s="41">
        <f>IF(Input!$B$12="2D","",INDEX(Input!$I$21:$I$146,MATCH(Table4[[#This Row],[MARK ID]],Input!$H$21:$H$146,0)))</f>
        <v>287344.12319999997</v>
      </c>
      <c r="K54" s="41">
        <f>IF(Input!$B$12="2D","",INDEX(Input!$J$21:$J$146,MATCH(Table4[[#This Row],[MARK ID]],Input!$H$21:$H$146,0)))</f>
        <v>6216031.0358999996</v>
      </c>
      <c r="L54" s="24">
        <f>IFERROR(IF(Table4[[#This Row],[JOB NAME]]="A9MR",INDEX(Table9[R.L.],MATCH(Table4[[#This Row],[MARK ID]],Table9[Point],0)),INDEX(Table96[R.L.],MATCH(Table4[[#This Row],[MARK ID]],Table96[Point],0))),"")</f>
        <v>133.15906157024813</v>
      </c>
      <c r="M5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17.839652918428484</v>
      </c>
      <c r="N54" s="41" t="str">
        <f>IF(Input!$B$8=0,"",Input!$B$8)</f>
        <v/>
      </c>
      <c r="O54" s="34" t="s">
        <v>58</v>
      </c>
    </row>
    <row r="55" spans="2:15" s="57" customFormat="1" x14ac:dyDescent="0.2">
      <c r="B55" s="45" t="s">
        <v>360</v>
      </c>
      <c r="C55" s="41">
        <f>Input!$B$7</f>
        <v>25</v>
      </c>
      <c r="D55" s="42" t="str">
        <f>Input!$B$9</f>
        <v>LW903</v>
      </c>
      <c r="E55" s="42">
        <f>Input!$B$10</f>
        <v>1422</v>
      </c>
      <c r="F55" s="43">
        <f>Input!$B$5</f>
        <v>43900</v>
      </c>
      <c r="G55" s="34" t="s">
        <v>0</v>
      </c>
      <c r="H55" s="45" t="s">
        <v>114</v>
      </c>
      <c r="I55" s="34">
        <v>51</v>
      </c>
      <c r="J55" s="41">
        <f>IF(Input!$B$12="2D","",INDEX(Input!$I$21:$I$146,MATCH(Table4[[#This Row],[MARK ID]],Input!$H$21:$H$146,0)))</f>
        <v>287360.4314</v>
      </c>
      <c r="K55" s="41">
        <f>IF(Input!$B$12="2D","",INDEX(Input!$J$21:$J$146,MATCH(Table4[[#This Row],[MARK ID]],Input!$H$21:$H$146,0)))</f>
        <v>6216038.2721999995</v>
      </c>
      <c r="L55" s="24">
        <f>IFERROR(IF(Table4[[#This Row],[JOB NAME]]="A9MR",INDEX(Table9[R.L.],MATCH(Table4[[#This Row],[MARK ID]],Table9[Point],0)),INDEX(Table96[R.L.],MATCH(Table4[[#This Row],[MARK ID]],Table96[Point],0))),"")</f>
        <v>133.93043393595062</v>
      </c>
      <c r="M5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20.910568649607981</v>
      </c>
      <c r="N55" s="41" t="str">
        <f>IF(Input!$B$8=0,"",Input!$B$8)</f>
        <v/>
      </c>
      <c r="O55" s="34" t="s">
        <v>58</v>
      </c>
    </row>
    <row r="56" spans="2:15" s="57" customFormat="1" x14ac:dyDescent="0.2">
      <c r="B56" s="45" t="s">
        <v>360</v>
      </c>
      <c r="C56" s="41">
        <f>Input!$B$7</f>
        <v>25</v>
      </c>
      <c r="D56" s="42" t="str">
        <f>Input!$B$9</f>
        <v>LW903</v>
      </c>
      <c r="E56" s="42">
        <f>Input!$B$10</f>
        <v>1422</v>
      </c>
      <c r="F56" s="43">
        <f>Input!$B$5</f>
        <v>43900</v>
      </c>
      <c r="G56" s="34" t="s">
        <v>0</v>
      </c>
      <c r="H56" s="34" t="s">
        <v>115</v>
      </c>
      <c r="I56" s="34">
        <v>52</v>
      </c>
      <c r="J56" s="41">
        <f>IF(Input!$B$12="2D","",INDEX(Input!$I$21:$I$146,MATCH(Table4[[#This Row],[MARK ID]],Input!$H$21:$H$146,0)))</f>
        <v>287379.47960000002</v>
      </c>
      <c r="K56" s="41">
        <f>IF(Input!$B$12="2D","",INDEX(Input!$J$21:$J$146,MATCH(Table4[[#This Row],[MARK ID]],Input!$H$21:$H$146,0)))</f>
        <v>6216046.9061000003</v>
      </c>
      <c r="L56" s="24">
        <f>IFERROR(IF(Table4[[#This Row],[JOB NAME]]="A9MR",INDEX(Table9[R.L.],MATCH(Table4[[#This Row],[MARK ID]],Table9[Point],0)),INDEX(Table96[R.L.],MATCH(Table4[[#This Row],[MARK ID]],Table96[Point],0))),"")</f>
        <v>134.8053063016531</v>
      </c>
      <c r="M5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20.862941097792728</v>
      </c>
      <c r="N56" s="41" t="str">
        <f>IF(Input!$B$8=0,"",Input!$B$8)</f>
        <v/>
      </c>
      <c r="O56" s="34" t="s">
        <v>58</v>
      </c>
    </row>
    <row r="57" spans="2:15" s="57" customFormat="1" x14ac:dyDescent="0.2">
      <c r="B57" s="45" t="s">
        <v>360</v>
      </c>
      <c r="C57" s="41">
        <f>Input!$B$7</f>
        <v>25</v>
      </c>
      <c r="D57" s="42" t="str">
        <f>Input!$B$9</f>
        <v>LW903</v>
      </c>
      <c r="E57" s="42">
        <f>Input!$B$10</f>
        <v>1422</v>
      </c>
      <c r="F57" s="43">
        <f>Input!$B$5</f>
        <v>43900</v>
      </c>
      <c r="G57" s="34" t="s">
        <v>0</v>
      </c>
      <c r="H57" s="45" t="s">
        <v>116</v>
      </c>
      <c r="I57" s="34">
        <v>53</v>
      </c>
      <c r="J57" s="41">
        <f>IF(Input!$B$12="2D","",INDEX(Input!$I$21:$I$146,MATCH(Table4[[#This Row],[MARK ID]],Input!$H$21:$H$146,0)))</f>
        <v>287398.52010000002</v>
      </c>
      <c r="K57" s="41">
        <f>IF(Input!$B$12="2D","",INDEX(Input!$J$21:$J$146,MATCH(Table4[[#This Row],[MARK ID]],Input!$H$21:$H$146,0)))</f>
        <v>6216055.4411000004</v>
      </c>
      <c r="L57" s="24">
        <f>IFERROR(IF(Table4[[#This Row],[JOB NAME]]="A9MR",INDEX(Table9[R.L.],MATCH(Table4[[#This Row],[MARK ID]],Table9[Point],0)),INDEX(Table96[R.L.],MATCH(Table4[[#This Row],[MARK ID]],Table96[Point],0))),"")</f>
        <v>135.6501467587812</v>
      </c>
      <c r="M5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20.658613125039473</v>
      </c>
      <c r="N57" s="41" t="str">
        <f>IF(Input!$B$8=0,"",Input!$B$8)</f>
        <v/>
      </c>
      <c r="O57" s="34" t="s">
        <v>58</v>
      </c>
    </row>
    <row r="58" spans="2:15" s="57" customFormat="1" x14ac:dyDescent="0.2">
      <c r="B58" s="45" t="s">
        <v>360</v>
      </c>
      <c r="C58" s="41">
        <f>Input!$B$7</f>
        <v>25</v>
      </c>
      <c r="D58" s="42" t="str">
        <f>Input!$B$9</f>
        <v>LW903</v>
      </c>
      <c r="E58" s="42">
        <f>Input!$B$10</f>
        <v>1422</v>
      </c>
      <c r="F58" s="43">
        <f>Input!$B$5</f>
        <v>43900</v>
      </c>
      <c r="G58" s="34" t="s">
        <v>0</v>
      </c>
      <c r="H58" s="34" t="s">
        <v>117</v>
      </c>
      <c r="I58" s="34">
        <v>54</v>
      </c>
      <c r="J58" s="41">
        <f>IF(Input!$B$12="2D","",INDEX(Input!$I$21:$I$146,MATCH(Table4[[#This Row],[MARK ID]],Input!$H$21:$H$146,0)))</f>
        <v>287417.36459999997</v>
      </c>
      <c r="K58" s="41">
        <f>IF(Input!$B$12="2D","",INDEX(Input!$J$21:$J$146,MATCH(Table4[[#This Row],[MARK ID]],Input!$H$21:$H$146,0)))</f>
        <v>6216063.9143000003</v>
      </c>
      <c r="L58" s="24">
        <f>IFERROR(IF(Table4[[#This Row],[JOB NAME]]="A9MR",INDEX(Table9[R.L.],MATCH(Table4[[#This Row],[MARK ID]],Table9[Point],0)),INDEX(Table96[R.L.],MATCH(Table4[[#This Row],[MARK ID]],Table96[Point],0))),"")</f>
        <v>136.26298721590931</v>
      </c>
      <c r="M5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17.864393307638235</v>
      </c>
      <c r="N58" s="41" t="str">
        <f>IF(Input!$B$8=0,"",Input!$B$8)</f>
        <v/>
      </c>
      <c r="O58" s="34" t="s">
        <v>58</v>
      </c>
    </row>
    <row r="59" spans="2:15" s="57" customFormat="1" x14ac:dyDescent="0.2">
      <c r="B59" s="45" t="s">
        <v>360</v>
      </c>
      <c r="C59" s="41">
        <f>Input!$B$7</f>
        <v>25</v>
      </c>
      <c r="D59" s="42" t="str">
        <f>Input!$B$9</f>
        <v>LW903</v>
      </c>
      <c r="E59" s="42">
        <f>Input!$B$10</f>
        <v>1422</v>
      </c>
      <c r="F59" s="43">
        <f>Input!$B$5</f>
        <v>43900</v>
      </c>
      <c r="G59" s="34" t="s">
        <v>0</v>
      </c>
      <c r="H59" s="45" t="s">
        <v>118</v>
      </c>
      <c r="I59" s="34">
        <v>55</v>
      </c>
      <c r="J59" s="41">
        <f>IF(Input!$B$12="2D","",INDEX(Input!$I$21:$I$146,MATCH(Table4[[#This Row],[MARK ID]],Input!$H$21:$H$146,0)))</f>
        <v>287433.64429999999</v>
      </c>
      <c r="K59" s="41">
        <f>IF(Input!$B$12="2D","",INDEX(Input!$J$21:$J$146,MATCH(Table4[[#This Row],[MARK ID]],Input!$H$21:$H$146,0)))</f>
        <v>6216071.2748999996</v>
      </c>
      <c r="L59" s="24">
        <f>IFERROR(IF(Table4[[#This Row],[JOB NAME]]="A9MR",INDEX(Table9[R.L.],MATCH(Table4[[#This Row],[MARK ID]],Table9[Point],0)),INDEX(Table96[R.L.],MATCH(Table4[[#This Row],[MARK ID]],Table96[Point],0))),"")</f>
        <v>136.9303276730374</v>
      </c>
      <c r="M5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20.798589669734348</v>
      </c>
      <c r="N59" s="41" t="str">
        <f>IF(Input!$B$8=0,"",Input!$B$8)</f>
        <v/>
      </c>
      <c r="O59" s="34" t="s">
        <v>58</v>
      </c>
    </row>
    <row r="60" spans="2:15" s="57" customFormat="1" x14ac:dyDescent="0.2">
      <c r="B60" s="45" t="s">
        <v>360</v>
      </c>
      <c r="C60" s="41">
        <f>Input!$B$7</f>
        <v>25</v>
      </c>
      <c r="D60" s="42" t="str">
        <f>Input!$B$9</f>
        <v>LW903</v>
      </c>
      <c r="E60" s="42">
        <f>Input!$B$10</f>
        <v>1422</v>
      </c>
      <c r="F60" s="43">
        <f>Input!$B$5</f>
        <v>43900</v>
      </c>
      <c r="G60" s="34" t="s">
        <v>0</v>
      </c>
      <c r="H60" s="34" t="s">
        <v>119</v>
      </c>
      <c r="I60" s="34">
        <v>56</v>
      </c>
      <c r="J60" s="41">
        <f>IF(Input!$B$12="2D","",INDEX(Input!$I$21:$I$146,MATCH(Table4[[#This Row],[MARK ID]],Input!$H$21:$H$146,0)))</f>
        <v>287452.663</v>
      </c>
      <c r="K60" s="41">
        <f>IF(Input!$B$12="2D","",INDEX(Input!$J$21:$J$146,MATCH(Table4[[#This Row],[MARK ID]],Input!$H$21:$H$146,0)))</f>
        <v>6216079.7002999997</v>
      </c>
      <c r="L60" s="24">
        <f>IFERROR(IF(Table4[[#This Row],[JOB NAME]]="A9MR",INDEX(Table9[R.L.],MATCH(Table4[[#This Row],[MARK ID]],Table9[Point],0)),INDEX(Table96[R.L.],MATCH(Table4[[#This Row],[MARK ID]],Table96[Point],0))),"")</f>
        <v>138.01966813016551</v>
      </c>
      <c r="M6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20.560995549827034</v>
      </c>
      <c r="N60" s="41" t="str">
        <f>IF(Input!$B$8=0,"",Input!$B$8)</f>
        <v/>
      </c>
      <c r="O60" s="34" t="s">
        <v>58</v>
      </c>
    </row>
    <row r="61" spans="2:15" s="57" customFormat="1" x14ac:dyDescent="0.2">
      <c r="B61" s="45" t="s">
        <v>360</v>
      </c>
      <c r="C61" s="41">
        <f>Input!$B$7</f>
        <v>25</v>
      </c>
      <c r="D61" s="42" t="str">
        <f>Input!$B$9</f>
        <v>LW903</v>
      </c>
      <c r="E61" s="42">
        <f>Input!$B$10</f>
        <v>1422</v>
      </c>
      <c r="F61" s="43">
        <f>Input!$B$5</f>
        <v>43900</v>
      </c>
      <c r="G61" s="34" t="s">
        <v>0</v>
      </c>
      <c r="H61" s="45" t="s">
        <v>120</v>
      </c>
      <c r="I61" s="34">
        <v>57</v>
      </c>
      <c r="J61" s="41">
        <f>IF(Input!$B$12="2D","",INDEX(Input!$I$21:$I$146,MATCH(Table4[[#This Row],[MARK ID]],Input!$H$21:$H$146,0)))</f>
        <v>287471.43119999999</v>
      </c>
      <c r="K61" s="41">
        <f>IF(Input!$B$12="2D","",INDEX(Input!$J$21:$J$146,MATCH(Table4[[#This Row],[MARK ID]],Input!$H$21:$H$146,0)))</f>
        <v>6216088.1030000001</v>
      </c>
      <c r="L61" s="24">
        <f>IFERROR(IF(Table4[[#This Row],[JOB NAME]]="A9MR",INDEX(Table9[R.L.],MATCH(Table4[[#This Row],[MARK ID]],Table9[Point],0)),INDEX(Table96[R.L.],MATCH(Table4[[#This Row],[MARK ID]],Table96[Point],0))),"")</f>
        <v>138.92950858729361</v>
      </c>
      <c r="M6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20.542981216221005</v>
      </c>
      <c r="N61" s="41" t="str">
        <f>IF(Input!$B$8=0,"",Input!$B$8)</f>
        <v/>
      </c>
      <c r="O61" s="34" t="s">
        <v>58</v>
      </c>
    </row>
    <row r="62" spans="2:15" s="57" customFormat="1" x14ac:dyDescent="0.2">
      <c r="B62" s="45" t="s">
        <v>360</v>
      </c>
      <c r="C62" s="41">
        <f>Input!$B$7</f>
        <v>25</v>
      </c>
      <c r="D62" s="42" t="str">
        <f>Input!$B$9</f>
        <v>LW903</v>
      </c>
      <c r="E62" s="42">
        <f>Input!$B$10</f>
        <v>1422</v>
      </c>
      <c r="F62" s="43">
        <f>Input!$B$5</f>
        <v>43900</v>
      </c>
      <c r="G62" s="34" t="s">
        <v>0</v>
      </c>
      <c r="H62" s="34" t="s">
        <v>121</v>
      </c>
      <c r="I62" s="34">
        <v>58</v>
      </c>
      <c r="J62" s="41">
        <f>IF(Input!$B$12="2D","",INDEX(Input!$I$21:$I$146,MATCH(Table4[[#This Row],[MARK ID]],Input!$H$21:$H$146,0)))</f>
        <v>287490.13900000002</v>
      </c>
      <c r="K62" s="41">
        <f>IF(Input!$B$12="2D","",INDEX(Input!$J$21:$J$146,MATCH(Table4[[#This Row],[MARK ID]],Input!$H$21:$H$146,0)))</f>
        <v>6216096.5987</v>
      </c>
      <c r="L62" s="24">
        <f>IFERROR(IF(Table4[[#This Row],[JOB NAME]]="A9MR",INDEX(Table9[R.L.],MATCH(Table4[[#This Row],[MARK ID]],Table9[Point],0)),INDEX(Table96[R.L.],MATCH(Table4[[#This Row],[MARK ID]],Table96[Point],0))),"")</f>
        <v>139.82334904442175</v>
      </c>
      <c r="M6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39.631412705075086</v>
      </c>
      <c r="N62" s="41" t="str">
        <f>IF(Input!$B$8=0,"",Input!$B$8)</f>
        <v/>
      </c>
      <c r="O62" s="34" t="s">
        <v>58</v>
      </c>
    </row>
    <row r="63" spans="2:15" s="57" customFormat="1" x14ac:dyDescent="0.2">
      <c r="B63" s="45" t="s">
        <v>360</v>
      </c>
      <c r="C63" s="41">
        <f>Input!$B$7</f>
        <v>25</v>
      </c>
      <c r="D63" s="42" t="str">
        <f>Input!$B$9</f>
        <v>LW903</v>
      </c>
      <c r="E63" s="42">
        <f>Input!$B$10</f>
        <v>1422</v>
      </c>
      <c r="F63" s="43">
        <f>Input!$B$5</f>
        <v>43900</v>
      </c>
      <c r="G63" s="34" t="s">
        <v>0</v>
      </c>
      <c r="H63" s="45" t="s">
        <v>122</v>
      </c>
      <c r="I63" s="34">
        <v>59</v>
      </c>
      <c r="J63" s="41">
        <f>IF(Input!$B$12="2D","",INDEX(Input!$I$21:$I$146,MATCH(Table4[[#This Row],[MARK ID]],Input!$H$21:$H$146,0)))</f>
        <v>287514.27350000001</v>
      </c>
      <c r="K63" s="41">
        <f>IF(Input!$B$12="2D","",INDEX(Input!$J$21:$J$146,MATCH(Table4[[#This Row],[MARK ID]],Input!$H$21:$H$146,0)))</f>
        <v>6216128.0407999996</v>
      </c>
      <c r="L63" s="24">
        <f>IFERROR(IF(Table4[[#This Row],[JOB NAME]]="A9MR",INDEX(Table9[R.L.],MATCH(Table4[[#This Row],[MARK ID]],Table9[Point],0)),INDEX(Table96[R.L.],MATCH(Table4[[#This Row],[MARK ID]],Table96[Point],0))),"")</f>
        <v>141.63768950154983</v>
      </c>
      <c r="M6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13.453987438673176</v>
      </c>
      <c r="N63" s="41" t="str">
        <f>IF(Input!$B$8=0,"",Input!$B$8)</f>
        <v/>
      </c>
      <c r="O63" s="34" t="s">
        <v>58</v>
      </c>
    </row>
    <row r="64" spans="2:15" s="57" customFormat="1" x14ac:dyDescent="0.2">
      <c r="B64" s="45" t="s">
        <v>360</v>
      </c>
      <c r="C64" s="41">
        <f>Input!$B$7</f>
        <v>25</v>
      </c>
      <c r="D64" s="42" t="str">
        <f>Input!$B$9</f>
        <v>LW903</v>
      </c>
      <c r="E64" s="42">
        <f>Input!$B$10</f>
        <v>1422</v>
      </c>
      <c r="F64" s="43">
        <f>Input!$B$5</f>
        <v>43900</v>
      </c>
      <c r="G64" s="34" t="s">
        <v>0</v>
      </c>
      <c r="H64" s="34" t="s">
        <v>123</v>
      </c>
      <c r="I64" s="34">
        <v>60</v>
      </c>
      <c r="J64" s="41">
        <f>IF(Input!$B$12="2D","",INDEX(Input!$I$21:$I$146,MATCH(Table4[[#This Row],[MARK ID]],Input!$H$21:$H$146,0)))</f>
        <v>287527.6532</v>
      </c>
      <c r="K64" s="41">
        <f>IF(Input!$B$12="2D","",INDEX(Input!$J$21:$J$146,MATCH(Table4[[#This Row],[MARK ID]],Input!$H$21:$H$146,0)))</f>
        <v>6216129.4724000003</v>
      </c>
      <c r="L64" s="24">
        <f>IFERROR(IF(Table4[[#This Row],[JOB NAME]]="A9MR",INDEX(Table9[R.L.],MATCH(Table4[[#This Row],[MARK ID]],Table9[Point],0)),INDEX(Table96[R.L.],MATCH(Table4[[#This Row],[MARK ID]],Table96[Point],0))),"")</f>
        <v>142.25052995867793</v>
      </c>
      <c r="M6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21.085348111899123</v>
      </c>
      <c r="N64" s="41" t="str">
        <f>IF(Input!$B$8=0,"",Input!$B$8)</f>
        <v/>
      </c>
      <c r="O64" s="34" t="s">
        <v>58</v>
      </c>
    </row>
    <row r="65" spans="2:15" s="57" customFormat="1" x14ac:dyDescent="0.2">
      <c r="B65" s="45" t="s">
        <v>360</v>
      </c>
      <c r="C65" s="41">
        <f>Input!$B$7</f>
        <v>25</v>
      </c>
      <c r="D65" s="42" t="str">
        <f>Input!$B$9</f>
        <v>LW903</v>
      </c>
      <c r="E65" s="42">
        <f>Input!$B$10</f>
        <v>1422</v>
      </c>
      <c r="F65" s="43">
        <f>Input!$B$5</f>
        <v>43900</v>
      </c>
      <c r="G65" s="34" t="s">
        <v>0</v>
      </c>
      <c r="H65" s="45" t="s">
        <v>124</v>
      </c>
      <c r="I65" s="34">
        <v>61</v>
      </c>
      <c r="J65" s="41">
        <f>IF(Input!$B$12="2D","",INDEX(Input!$I$21:$I$146,MATCH(Table4[[#This Row],[MARK ID]],Input!$H$21:$H$146,0)))</f>
        <v>287548.60930000001</v>
      </c>
      <c r="K65" s="41">
        <f>IF(Input!$B$12="2D","",INDEX(Input!$J$21:$J$146,MATCH(Table4[[#This Row],[MARK ID]],Input!$H$21:$H$146,0)))</f>
        <v>6216131.8370000003</v>
      </c>
      <c r="L65" s="24">
        <f>IFERROR(IF(Table4[[#This Row],[JOB NAME]]="A9MR",INDEX(Table9[R.L.],MATCH(Table4[[#This Row],[MARK ID]],Table9[Point],0)),INDEX(Table96[R.L.],MATCH(Table4[[#This Row],[MARK ID]],Table96[Point],0))),"")</f>
        <v>142.67634762396722</v>
      </c>
      <c r="M6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17.870330830737363</v>
      </c>
      <c r="N65" s="41" t="str">
        <f>IF(Input!$B$8=0,"",Input!$B$8)</f>
        <v/>
      </c>
      <c r="O65" s="34" t="s">
        <v>58</v>
      </c>
    </row>
    <row r="66" spans="2:15" s="57" customFormat="1" x14ac:dyDescent="0.2">
      <c r="B66" s="45" t="s">
        <v>360</v>
      </c>
      <c r="C66" s="41">
        <f>Input!$B$7</f>
        <v>25</v>
      </c>
      <c r="D66" s="42" t="str">
        <f>Input!$B$9</f>
        <v>LW903</v>
      </c>
      <c r="E66" s="42">
        <f>Input!$B$10</f>
        <v>1422</v>
      </c>
      <c r="F66" s="43">
        <f>Input!$B$5</f>
        <v>43900</v>
      </c>
      <c r="G66" s="34" t="s">
        <v>0</v>
      </c>
      <c r="H66" s="34" t="s">
        <v>125</v>
      </c>
      <c r="I66" s="34">
        <v>62</v>
      </c>
      <c r="J66" s="41">
        <f>IF(Input!$B$12="2D","",INDEX(Input!$I$21:$I$146,MATCH(Table4[[#This Row],[MARK ID]],Input!$H$21:$H$146,0)))</f>
        <v>287566.37430000002</v>
      </c>
      <c r="K66" s="41">
        <f>IF(Input!$B$12="2D","",INDEX(Input!$J$21:$J$146,MATCH(Table4[[#This Row],[MARK ID]],Input!$H$21:$H$146,0)))</f>
        <v>6216133.7922999999</v>
      </c>
      <c r="L66" s="24">
        <f>IFERROR(IF(Table4[[#This Row],[JOB NAME]]="A9MR",INDEX(Table9[R.L.],MATCH(Table4[[#This Row],[MARK ID]],Table9[Point],0)),INDEX(Table96[R.L.],MATCH(Table4[[#This Row],[MARK ID]],Table96[Point],0))),"")</f>
        <v>142.98916528925648</v>
      </c>
      <c r="M6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21.047276700323575</v>
      </c>
      <c r="N66" s="41" t="str">
        <f>IF(Input!$B$8=0,"",Input!$B$8)</f>
        <v/>
      </c>
      <c r="O66" s="34" t="s">
        <v>58</v>
      </c>
    </row>
    <row r="67" spans="2:15" s="57" customFormat="1" x14ac:dyDescent="0.2">
      <c r="B67" s="45" t="s">
        <v>360</v>
      </c>
      <c r="C67" s="41">
        <f>Input!$B$7</f>
        <v>25</v>
      </c>
      <c r="D67" s="42" t="str">
        <f>Input!$B$9</f>
        <v>LW903</v>
      </c>
      <c r="E67" s="42">
        <f>Input!$B$10</f>
        <v>1422</v>
      </c>
      <c r="F67" s="43">
        <f>Input!$B$5</f>
        <v>43900</v>
      </c>
      <c r="G67" s="34" t="s">
        <v>0</v>
      </c>
      <c r="H67" s="45" t="s">
        <v>126</v>
      </c>
      <c r="I67" s="34">
        <v>63</v>
      </c>
      <c r="J67" s="41">
        <f>IF(Input!$B$12="2D","",INDEX(Input!$I$21:$I$146,MATCH(Table4[[#This Row],[MARK ID]],Input!$H$21:$H$146,0)))</f>
        <v>287587.29810000001</v>
      </c>
      <c r="K67" s="41">
        <f>IF(Input!$B$12="2D","",INDEX(Input!$J$21:$J$146,MATCH(Table4[[#This Row],[MARK ID]],Input!$H$21:$H$146,0)))</f>
        <v>6216136.0930000003</v>
      </c>
      <c r="L67" s="24">
        <f>IFERROR(IF(Table4[[#This Row],[JOB NAME]]="A9MR",INDEX(Table9[R.L.],MATCH(Table4[[#This Row],[MARK ID]],Table9[Point],0)),INDEX(Table96[R.L.],MATCH(Table4[[#This Row],[MARK ID]],Table96[Point],0))),"")</f>
        <v>143.19298295454573</v>
      </c>
      <c r="M6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17.747844178941762</v>
      </c>
      <c r="N67" s="41" t="str">
        <f>IF(Input!$B$8=0,"",Input!$B$8)</f>
        <v/>
      </c>
      <c r="O67" s="34" t="s">
        <v>58</v>
      </c>
    </row>
    <row r="68" spans="2:15" s="57" customFormat="1" x14ac:dyDescent="0.2">
      <c r="B68" s="45" t="s">
        <v>360</v>
      </c>
      <c r="C68" s="41">
        <f>Input!$B$7</f>
        <v>25</v>
      </c>
      <c r="D68" s="42" t="str">
        <f>Input!$B$9</f>
        <v>LW903</v>
      </c>
      <c r="E68" s="42">
        <f>Input!$B$10</f>
        <v>1422</v>
      </c>
      <c r="F68" s="43">
        <f>Input!$B$5</f>
        <v>43900</v>
      </c>
      <c r="G68" s="34" t="s">
        <v>0</v>
      </c>
      <c r="H68" s="34" t="s">
        <v>127</v>
      </c>
      <c r="I68" s="34">
        <v>64</v>
      </c>
      <c r="J68" s="41">
        <f>IF(Input!$B$12="2D","",INDEX(Input!$I$21:$I$146,MATCH(Table4[[#This Row],[MARK ID]],Input!$H$21:$H$146,0)))</f>
        <v>287604.97519999999</v>
      </c>
      <c r="K68" s="41">
        <f>IF(Input!$B$12="2D","",INDEX(Input!$J$21:$J$146,MATCH(Table4[[#This Row],[MARK ID]],Input!$H$21:$H$146,0)))</f>
        <v>6216137.7050000001</v>
      </c>
      <c r="L68" s="24">
        <f>IFERROR(IF(Table4[[#This Row],[JOB NAME]]="A9MR",INDEX(Table9[R.L.],MATCH(Table4[[#This Row],[MARK ID]],Table9[Point],0)),INDEX(Table96[R.L.],MATCH(Table4[[#This Row],[MARK ID]],Table96[Point],0))),"")</f>
        <v>143.73830061983494</v>
      </c>
      <c r="M6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20.506394185717561</v>
      </c>
      <c r="N68" s="41" t="str">
        <f>IF(Input!$B$8=0,"",Input!$B$8)</f>
        <v/>
      </c>
      <c r="O68" s="34" t="s">
        <v>58</v>
      </c>
    </row>
    <row r="69" spans="2:15" s="57" customFormat="1" x14ac:dyDescent="0.2">
      <c r="B69" s="45" t="s">
        <v>360</v>
      </c>
      <c r="C69" s="41">
        <f>Input!$B$7</f>
        <v>25</v>
      </c>
      <c r="D69" s="42" t="str">
        <f>Input!$B$9</f>
        <v>LW903</v>
      </c>
      <c r="E69" s="42">
        <f>Input!$B$10</f>
        <v>1422</v>
      </c>
      <c r="F69" s="43">
        <f>Input!$B$5</f>
        <v>43900</v>
      </c>
      <c r="G69" s="34" t="s">
        <v>0</v>
      </c>
      <c r="H69" s="45" t="s">
        <v>128</v>
      </c>
      <c r="I69" s="34">
        <v>65</v>
      </c>
      <c r="J69" s="41">
        <f>IF(Input!$B$12="2D","",INDEX(Input!$I$21:$I$146,MATCH(Table4[[#This Row],[MARK ID]],Input!$H$21:$H$146,0)))</f>
        <v>287625.42009999999</v>
      </c>
      <c r="K69" s="41">
        <f>IF(Input!$B$12="2D","",INDEX(Input!$J$21:$J$146,MATCH(Table4[[#This Row],[MARK ID]],Input!$H$21:$H$146,0)))</f>
        <v>6216139.3301999997</v>
      </c>
      <c r="L69" s="24">
        <f>IFERROR(IF(Table4[[#This Row],[JOB NAME]]="A9MR",INDEX(Table9[R.L.],MATCH(Table4[[#This Row],[MARK ID]],Table9[Point],0)),INDEX(Table96[R.L.],MATCH(Table4[[#This Row],[MARK ID]],Table96[Point],0))),"")</f>
        <v>145.18561828512424</v>
      </c>
      <c r="M6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20.576342465316046</v>
      </c>
      <c r="N69" s="41" t="str">
        <f>IF(Input!$B$8=0,"",Input!$B$8)</f>
        <v/>
      </c>
      <c r="O69" s="34" t="s">
        <v>58</v>
      </c>
    </row>
    <row r="70" spans="2:15" s="57" customFormat="1" x14ac:dyDescent="0.2">
      <c r="B70" s="45" t="s">
        <v>360</v>
      </c>
      <c r="C70" s="41">
        <f>Input!$B$7</f>
        <v>25</v>
      </c>
      <c r="D70" s="42" t="str">
        <f>Input!$B$9</f>
        <v>LW903</v>
      </c>
      <c r="E70" s="42">
        <f>Input!$B$10</f>
        <v>1422</v>
      </c>
      <c r="F70" s="43">
        <f>Input!$B$5</f>
        <v>43900</v>
      </c>
      <c r="G70" s="34" t="s">
        <v>0</v>
      </c>
      <c r="H70" s="34" t="s">
        <v>129</v>
      </c>
      <c r="I70" s="34">
        <v>66</v>
      </c>
      <c r="J70" s="41">
        <f>IF(Input!$B$12="2D","",INDEX(Input!$I$21:$I$146,MATCH(Table4[[#This Row],[MARK ID]],Input!$H$21:$H$146,0)))</f>
        <v>287645.93190000003</v>
      </c>
      <c r="K70" s="41">
        <f>IF(Input!$B$12="2D","",INDEX(Input!$J$21:$J$146,MATCH(Table4[[#This Row],[MARK ID]],Input!$H$21:$H$146,0)))</f>
        <v>6216140.9903999995</v>
      </c>
      <c r="L70" s="24">
        <f>IFERROR(IF(Table4[[#This Row],[JOB NAME]]="A9MR",INDEX(Table9[R.L.],MATCH(Table4[[#This Row],[MARK ID]],Table9[Point],0)),INDEX(Table96[R.L.],MATCH(Table4[[#This Row],[MARK ID]],Table96[Point],0))),"")</f>
        <v>146.42093595041351</v>
      </c>
      <c r="M7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21.558538041805811</v>
      </c>
      <c r="N70" s="41" t="str">
        <f>IF(Input!$B$8=0,"",Input!$B$8)</f>
        <v/>
      </c>
      <c r="O70" s="34" t="s">
        <v>58</v>
      </c>
    </row>
    <row r="71" spans="2:15" s="57" customFormat="1" x14ac:dyDescent="0.2">
      <c r="B71" s="45" t="s">
        <v>360</v>
      </c>
      <c r="C71" s="41">
        <f>Input!$B$7</f>
        <v>25</v>
      </c>
      <c r="D71" s="42" t="str">
        <f>Input!$B$9</f>
        <v>LW903</v>
      </c>
      <c r="E71" s="42">
        <f>Input!$B$10</f>
        <v>1422</v>
      </c>
      <c r="F71" s="43">
        <f>Input!$B$5</f>
        <v>43900</v>
      </c>
      <c r="G71" s="34" t="s">
        <v>0</v>
      </c>
      <c r="H71" s="45" t="s">
        <v>130</v>
      </c>
      <c r="I71" s="34">
        <v>67</v>
      </c>
      <c r="J71" s="41">
        <f>IF(Input!$B$12="2D","",INDEX(Input!$I$21:$I$146,MATCH(Table4[[#This Row],[MARK ID]],Input!$H$21:$H$146,0)))</f>
        <v>287667.41230000003</v>
      </c>
      <c r="K71" s="41">
        <f>IF(Input!$B$12="2D","",INDEX(Input!$J$21:$J$146,MATCH(Table4[[#This Row],[MARK ID]],Input!$H$21:$H$146,0)))</f>
        <v>6216142.8589000003</v>
      </c>
      <c r="L71" s="24">
        <f>IFERROR(IF(Table4[[#This Row],[JOB NAME]]="A9MR",INDEX(Table9[R.L.],MATCH(Table4[[#This Row],[MARK ID]],Table9[Point],0)),INDEX(Table96[R.L.],MATCH(Table4[[#This Row],[MARK ID]],Table96[Point],0))),"")</f>
        <v>147.94075361570279</v>
      </c>
      <c r="M7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20.022202307688168</v>
      </c>
      <c r="N71" s="41" t="str">
        <f>IF(Input!$B$8=0,"",Input!$B$8)</f>
        <v/>
      </c>
      <c r="O71" s="34" t="s">
        <v>58</v>
      </c>
    </row>
    <row r="72" spans="2:15" s="57" customFormat="1" x14ac:dyDescent="0.2">
      <c r="B72" s="45" t="s">
        <v>360</v>
      </c>
      <c r="C72" s="41">
        <f>Input!$B$7</f>
        <v>25</v>
      </c>
      <c r="D72" s="42" t="str">
        <f>Input!$B$9</f>
        <v>LW903</v>
      </c>
      <c r="E72" s="42">
        <f>Input!$B$10</f>
        <v>1422</v>
      </c>
      <c r="F72" s="43">
        <f>Input!$B$5</f>
        <v>43900</v>
      </c>
      <c r="G72" s="34" t="s">
        <v>0</v>
      </c>
      <c r="H72" s="34" t="s">
        <v>131</v>
      </c>
      <c r="I72" s="34">
        <v>68</v>
      </c>
      <c r="J72" s="41">
        <f>IF(Input!$B$12="2D","",INDEX(Input!$I$21:$I$146,MATCH(Table4[[#This Row],[MARK ID]],Input!$H$21:$H$146,0)))</f>
        <v>287687.37880000001</v>
      </c>
      <c r="K72" s="41">
        <f>IF(Input!$B$12="2D","",INDEX(Input!$J$21:$J$146,MATCH(Table4[[#This Row],[MARK ID]],Input!$H$21:$H$146,0)))</f>
        <v>6216144.3808000004</v>
      </c>
      <c r="L72" s="24">
        <f>IFERROR(IF(Table4[[#This Row],[JOB NAME]]="A9MR",INDEX(Table9[R.L.],MATCH(Table4[[#This Row],[MARK ID]],Table9[Point],0)),INDEX(Table96[R.L.],MATCH(Table4[[#This Row],[MARK ID]],Table96[Point],0))),"")</f>
        <v>149.60807128099202</v>
      </c>
      <c r="M7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19.747360431207085</v>
      </c>
      <c r="N72" s="41" t="str">
        <f>IF(Input!$B$8=0,"",Input!$B$8)</f>
        <v/>
      </c>
      <c r="O72" s="34" t="s">
        <v>58</v>
      </c>
    </row>
    <row r="73" spans="2:15" s="57" customFormat="1" x14ac:dyDescent="0.2">
      <c r="B73" s="45" t="s">
        <v>360</v>
      </c>
      <c r="C73" s="41">
        <f>Input!$B$7</f>
        <v>25</v>
      </c>
      <c r="D73" s="42" t="str">
        <f>Input!$B$9</f>
        <v>LW903</v>
      </c>
      <c r="E73" s="42">
        <f>Input!$B$10</f>
        <v>1422</v>
      </c>
      <c r="F73" s="43">
        <f>Input!$B$5</f>
        <v>43900</v>
      </c>
      <c r="G73" s="34" t="s">
        <v>0</v>
      </c>
      <c r="H73" s="45" t="s">
        <v>132</v>
      </c>
      <c r="I73" s="34">
        <v>69</v>
      </c>
      <c r="J73" s="41">
        <f>IF(Input!$B$12="2D","",INDEX(Input!$I$21:$I$146,MATCH(Table4[[#This Row],[MARK ID]],Input!$H$21:$H$146,0)))</f>
        <v>287707.1054</v>
      </c>
      <c r="K73" s="41">
        <f>IF(Input!$B$12="2D","",INDEX(Input!$J$21:$J$146,MATCH(Table4[[#This Row],[MARK ID]],Input!$H$21:$H$146,0)))</f>
        <v>6216145.3435000004</v>
      </c>
      <c r="L73" s="24">
        <f>IFERROR(IF(Table4[[#This Row],[JOB NAME]]="A9MR",INDEX(Table9[R.L.],MATCH(Table4[[#This Row],[MARK ID]],Table9[Point],0)),INDEX(Table96[R.L.],MATCH(Table4[[#This Row],[MARK ID]],Table96[Point],0))),"")</f>
        <v>151.35188894628126</v>
      </c>
      <c r="M7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21.080644184891856</v>
      </c>
      <c r="N73" s="41" t="str">
        <f>IF(Input!$B$8=0,"",Input!$B$8)</f>
        <v/>
      </c>
      <c r="O73" s="34" t="s">
        <v>58</v>
      </c>
    </row>
    <row r="74" spans="2:15" s="57" customFormat="1" x14ac:dyDescent="0.2">
      <c r="B74" s="45" t="s">
        <v>360</v>
      </c>
      <c r="C74" s="41">
        <f>Input!$B$7</f>
        <v>25</v>
      </c>
      <c r="D74" s="42" t="str">
        <f>Input!$B$9</f>
        <v>LW903</v>
      </c>
      <c r="E74" s="42">
        <f>Input!$B$10</f>
        <v>1422</v>
      </c>
      <c r="F74" s="43">
        <f>Input!$B$5</f>
        <v>43900</v>
      </c>
      <c r="G74" s="34" t="s">
        <v>0</v>
      </c>
      <c r="H74" s="34" t="s">
        <v>133</v>
      </c>
      <c r="I74" s="34">
        <v>70</v>
      </c>
      <c r="J74" s="41">
        <f>IF(Input!$B$12="2D","",INDEX(Input!$I$21:$I$146,MATCH(Table4[[#This Row],[MARK ID]],Input!$H$21:$H$146,0)))</f>
        <v>287728.14110000001</v>
      </c>
      <c r="K74" s="41">
        <f>IF(Input!$B$12="2D","",INDEX(Input!$J$21:$J$146,MATCH(Table4[[#This Row],[MARK ID]],Input!$H$21:$H$146,0)))</f>
        <v>6216146.7598999999</v>
      </c>
      <c r="L74" s="24">
        <f>IFERROR(IF(Table4[[#This Row],[JOB NAME]]="A9MR",INDEX(Table9[R.L.],MATCH(Table4[[#This Row],[MARK ID]],Table9[Point],0)),INDEX(Table96[R.L.],MATCH(Table4[[#This Row],[MARK ID]],Table96[Point],0))),"")</f>
        <v>153.31370661157052</v>
      </c>
      <c r="M7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19.639269487431655</v>
      </c>
      <c r="N74" s="41" t="str">
        <f>IF(Input!$B$8=0,"",Input!$B$8)</f>
        <v/>
      </c>
      <c r="O74" s="34" t="s">
        <v>58</v>
      </c>
    </row>
    <row r="75" spans="2:15" s="57" customFormat="1" x14ac:dyDescent="0.2">
      <c r="B75" s="45" t="s">
        <v>360</v>
      </c>
      <c r="C75" s="41">
        <f>Input!$B$7</f>
        <v>25</v>
      </c>
      <c r="D75" s="42" t="str">
        <f>Input!$B$9</f>
        <v>LW903</v>
      </c>
      <c r="E75" s="42">
        <f>Input!$B$10</f>
        <v>1422</v>
      </c>
      <c r="F75" s="43">
        <f>Input!$B$5</f>
        <v>43900</v>
      </c>
      <c r="G75" s="34" t="s">
        <v>0</v>
      </c>
      <c r="H75" s="45" t="s">
        <v>134</v>
      </c>
      <c r="I75" s="34">
        <v>71</v>
      </c>
      <c r="J75" s="41">
        <f>IF(Input!$B$12="2D","",INDEX(Input!$I$21:$I$146,MATCH(Table4[[#This Row],[MARK ID]],Input!$H$21:$H$146,0)))</f>
        <v>287747.73249999998</v>
      </c>
      <c r="K75" s="41">
        <f>IF(Input!$B$12="2D","",INDEX(Input!$J$21:$J$146,MATCH(Table4[[#This Row],[MARK ID]],Input!$H$21:$H$146,0)))</f>
        <v>6216148.1770000001</v>
      </c>
      <c r="L75" s="24">
        <f>IFERROR(IF(Table4[[#This Row],[JOB NAME]]="A9MR",INDEX(Table9[R.L.],MATCH(Table4[[#This Row],[MARK ID]],Table9[Point],0)),INDEX(Table96[R.L.],MATCH(Table4[[#This Row],[MARK ID]],Table96[Point],0))),"")</f>
        <v>154.91452427685979</v>
      </c>
      <c r="M7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19.626680749683178</v>
      </c>
      <c r="N75" s="41" t="str">
        <f>IF(Input!$B$8=0,"",Input!$B$8)</f>
        <v/>
      </c>
      <c r="O75" s="34" t="s">
        <v>58</v>
      </c>
    </row>
    <row r="76" spans="2:15" s="57" customFormat="1" x14ac:dyDescent="0.2">
      <c r="B76" s="45" t="s">
        <v>360</v>
      </c>
      <c r="C76" s="41">
        <f>Input!$B$7</f>
        <v>25</v>
      </c>
      <c r="D76" s="42" t="str">
        <f>Input!$B$9</f>
        <v>LW903</v>
      </c>
      <c r="E76" s="42">
        <f>Input!$B$10</f>
        <v>1422</v>
      </c>
      <c r="F76" s="43">
        <f>Input!$B$5</f>
        <v>43900</v>
      </c>
      <c r="G76" s="34" t="s">
        <v>0</v>
      </c>
      <c r="H76" s="34" t="s">
        <v>135</v>
      </c>
      <c r="I76" s="34">
        <v>72</v>
      </c>
      <c r="J76" s="41">
        <f>IF(Input!$B$12="2D","",INDEX(Input!$I$21:$I$146,MATCH(Table4[[#This Row],[MARK ID]],Input!$H$21:$H$146,0)))</f>
        <v>287767.28909999999</v>
      </c>
      <c r="K76" s="41">
        <f>IF(Input!$B$12="2D","",INDEX(Input!$J$21:$J$146,MATCH(Table4[[#This Row],[MARK ID]],Input!$H$21:$H$146,0)))</f>
        <v>6216149.8596000001</v>
      </c>
      <c r="L76" s="24">
        <f>IFERROR(IF(Table4[[#This Row],[JOB NAME]]="A9MR",INDEX(Table9[R.L.],MATCH(Table4[[#This Row],[MARK ID]],Table9[Point],0)),INDEX(Table96[R.L.],MATCH(Table4[[#This Row],[MARK ID]],Table96[Point],0))),"")</f>
        <v>156.75284194214905</v>
      </c>
      <c r="M7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23.614221784764034</v>
      </c>
      <c r="N76" s="41" t="str">
        <f>IF(Input!$B$8=0,"",Input!$B$8)</f>
        <v/>
      </c>
      <c r="O76" s="34" t="s">
        <v>58</v>
      </c>
    </row>
    <row r="77" spans="2:15" s="57" customFormat="1" x14ac:dyDescent="0.2">
      <c r="B77" s="45" t="s">
        <v>360</v>
      </c>
      <c r="C77" s="41">
        <f>Input!$B$7</f>
        <v>25</v>
      </c>
      <c r="D77" s="42" t="str">
        <f>Input!$B$9</f>
        <v>LW903</v>
      </c>
      <c r="E77" s="42">
        <f>Input!$B$10</f>
        <v>1422</v>
      </c>
      <c r="F77" s="43">
        <f>Input!$B$5</f>
        <v>43900</v>
      </c>
      <c r="G77" s="34" t="s">
        <v>0</v>
      </c>
      <c r="H77" s="45" t="s">
        <v>136</v>
      </c>
      <c r="I77" s="34">
        <v>73</v>
      </c>
      <c r="J77" s="41">
        <f>IF(Input!$B$12="2D","",INDEX(Input!$I$21:$I$146,MATCH(Table4[[#This Row],[MARK ID]],Input!$H$21:$H$146,0)))</f>
        <v>287790.85019999999</v>
      </c>
      <c r="K77" s="41">
        <f>IF(Input!$B$12="2D","",INDEX(Input!$J$21:$J$146,MATCH(Table4[[#This Row],[MARK ID]],Input!$H$21:$H$146,0)))</f>
        <v>6216151.4907</v>
      </c>
      <c r="L77" s="24">
        <f>IFERROR(IF(Table4[[#This Row],[JOB NAME]]="A9MR",INDEX(Table9[R.L.],MATCH(Table4[[#This Row],[MARK ID]],Table9[Point],0)),INDEX(Table96[R.L.],MATCH(Table4[[#This Row],[MARK ID]],Table96[Point],0))),"")</f>
        <v>158.9671596074383</v>
      </c>
      <c r="M7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19.217492454793096</v>
      </c>
      <c r="N77" s="41" t="str">
        <f>IF(Input!$B$8=0,"",Input!$B$8)</f>
        <v/>
      </c>
      <c r="O77" s="34" t="s">
        <v>58</v>
      </c>
    </row>
    <row r="78" spans="2:15" s="57" customFormat="1" x14ac:dyDescent="0.2">
      <c r="B78" s="45" t="s">
        <v>360</v>
      </c>
      <c r="C78" s="41">
        <f>Input!$B$7</f>
        <v>25</v>
      </c>
      <c r="D78" s="42" t="str">
        <f>Input!$B$9</f>
        <v>LW903</v>
      </c>
      <c r="E78" s="42">
        <f>Input!$B$10</f>
        <v>1422</v>
      </c>
      <c r="F78" s="43">
        <f>Input!$B$5</f>
        <v>43900</v>
      </c>
      <c r="G78" s="34" t="s">
        <v>0</v>
      </c>
      <c r="H78" s="34" t="s">
        <v>137</v>
      </c>
      <c r="I78" s="34">
        <v>74</v>
      </c>
      <c r="J78" s="41">
        <f>IF(Input!$B$12="2D","",INDEX(Input!$I$21:$I$146,MATCH(Table4[[#This Row],[MARK ID]],Input!$H$21:$H$146,0)))</f>
        <v>287809.9093</v>
      </c>
      <c r="K78" s="41">
        <f>IF(Input!$B$12="2D","",INDEX(Input!$J$21:$J$146,MATCH(Table4[[#This Row],[MARK ID]],Input!$H$21:$H$146,0)))</f>
        <v>6216153.9616999999</v>
      </c>
      <c r="L78" s="24">
        <f>IFERROR(IF(Table4[[#This Row],[JOB NAME]]="A9MR",INDEX(Table9[R.L.],MATCH(Table4[[#This Row],[MARK ID]],Table9[Point],0)),INDEX(Table96[R.L.],MATCH(Table4[[#This Row],[MARK ID]],Table96[Point],0))),"")</f>
        <v>160.96797727272761</v>
      </c>
      <c r="M7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20.796219199653461</v>
      </c>
      <c r="N78" s="41" t="str">
        <f>IF(Input!$B$8=0,"",Input!$B$8)</f>
        <v/>
      </c>
      <c r="O78" s="34" t="s">
        <v>58</v>
      </c>
    </row>
    <row r="79" spans="2:15" s="57" customFormat="1" x14ac:dyDescent="0.2">
      <c r="B79" s="45" t="s">
        <v>360</v>
      </c>
      <c r="C79" s="41">
        <f>Input!$B$7</f>
        <v>25</v>
      </c>
      <c r="D79" s="42" t="str">
        <f>Input!$B$9</f>
        <v>LW903</v>
      </c>
      <c r="E79" s="42">
        <f>Input!$B$10</f>
        <v>1422</v>
      </c>
      <c r="F79" s="43">
        <f>Input!$B$5</f>
        <v>43900</v>
      </c>
      <c r="G79" s="34" t="s">
        <v>0</v>
      </c>
      <c r="H79" s="45" t="s">
        <v>138</v>
      </c>
      <c r="I79" s="34">
        <v>75</v>
      </c>
      <c r="J79" s="41">
        <f>IF(Input!$B$12="2D","",INDEX(Input!$I$21:$I$146,MATCH(Table4[[#This Row],[MARK ID]],Input!$H$21:$H$146,0)))</f>
        <v>287830.39870000002</v>
      </c>
      <c r="K79" s="41">
        <f>IF(Input!$B$12="2D","",INDEX(Input!$J$21:$J$146,MATCH(Table4[[#This Row],[MARK ID]],Input!$H$21:$H$146,0)))</f>
        <v>6216157.5278000003</v>
      </c>
      <c r="L79" s="24">
        <f>IFERROR(IF(Table4[[#This Row],[JOB NAME]]="A9MR",INDEX(Table9[R.L.],MATCH(Table4[[#This Row],[MARK ID]],Table9[Point],0)),INDEX(Table96[R.L.],MATCH(Table4[[#This Row],[MARK ID]],Table96[Point],0))),"")</f>
        <v>162.07429493801686</v>
      </c>
      <c r="M7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18.616022306066196</v>
      </c>
      <c r="N79" s="41" t="str">
        <f>IF(Input!$B$8=0,"",Input!$B$8)</f>
        <v/>
      </c>
      <c r="O79" s="34" t="s">
        <v>58</v>
      </c>
    </row>
    <row r="80" spans="2:15" s="57" customFormat="1" x14ac:dyDescent="0.2">
      <c r="B80" s="45" t="s">
        <v>360</v>
      </c>
      <c r="C80" s="41">
        <f>Input!$B$7</f>
        <v>25</v>
      </c>
      <c r="D80" s="42" t="str">
        <f>Input!$B$9</f>
        <v>LW903</v>
      </c>
      <c r="E80" s="42">
        <f>Input!$B$10</f>
        <v>1422</v>
      </c>
      <c r="F80" s="43">
        <f>Input!$B$5</f>
        <v>43900</v>
      </c>
      <c r="G80" s="34" t="s">
        <v>0</v>
      </c>
      <c r="H80" s="34" t="s">
        <v>139</v>
      </c>
      <c r="I80" s="34">
        <v>76</v>
      </c>
      <c r="J80" s="41">
        <f>IF(Input!$B$12="2D","",INDEX(Input!$I$21:$I$146,MATCH(Table4[[#This Row],[MARK ID]],Input!$H$21:$H$146,0)))</f>
        <v>287848.20939999999</v>
      </c>
      <c r="K80" s="41">
        <f>IF(Input!$B$12="2D","",INDEX(Input!$J$21:$J$146,MATCH(Table4[[#This Row],[MARK ID]],Input!$H$21:$H$146,0)))</f>
        <v>6216162.9508999996</v>
      </c>
      <c r="L80" s="24">
        <f>IFERROR(IF(Table4[[#This Row],[JOB NAME]]="A9MR",INDEX(Table9[R.L.],MATCH(Table4[[#This Row],[MARK ID]],Table9[Point],0)),INDEX(Table96[R.L.],MATCH(Table4[[#This Row],[MARK ID]],Table96[Point],0))),"")</f>
        <v>163.42261260330613</v>
      </c>
      <c r="M8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21.470018007677893</v>
      </c>
      <c r="N80" s="41" t="str">
        <f>IF(Input!$B$8=0,"",Input!$B$8)</f>
        <v/>
      </c>
      <c r="O80" s="34" t="s">
        <v>58</v>
      </c>
    </row>
    <row r="81" spans="2:15" s="57" customFormat="1" x14ac:dyDescent="0.2">
      <c r="B81" s="45" t="s">
        <v>360</v>
      </c>
      <c r="C81" s="41">
        <f>Input!$B$7</f>
        <v>25</v>
      </c>
      <c r="D81" s="42" t="str">
        <f>Input!$B$9</f>
        <v>LW903</v>
      </c>
      <c r="E81" s="42">
        <f>Input!$B$10</f>
        <v>1422</v>
      </c>
      <c r="F81" s="43">
        <f>Input!$B$5</f>
        <v>43900</v>
      </c>
      <c r="G81" s="34" t="s">
        <v>0</v>
      </c>
      <c r="H81" s="45" t="s">
        <v>140</v>
      </c>
      <c r="I81" s="34">
        <v>77</v>
      </c>
      <c r="J81" s="41">
        <f>IF(Input!$B$12="2D","",INDEX(Input!$I$21:$I$146,MATCH(Table4[[#This Row],[MARK ID]],Input!$H$21:$H$146,0)))</f>
        <v>287868.77</v>
      </c>
      <c r="K81" s="41">
        <f>IF(Input!$B$12="2D","",INDEX(Input!$J$21:$J$146,MATCH(Table4[[#This Row],[MARK ID]],Input!$H$21:$H$146,0)))</f>
        <v>6216169.1449999996</v>
      </c>
      <c r="L81" s="24">
        <f>IFERROR(IF(Table4[[#This Row],[JOB NAME]]="A9MR",INDEX(Table9[R.L.],MATCH(Table4[[#This Row],[MARK ID]],Table9[Point],0)),INDEX(Table96[R.L.],MATCH(Table4[[#This Row],[MARK ID]],Table96[Point],0))),"")</f>
        <v>164.90043026859539</v>
      </c>
      <c r="M8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18.626659369033458</v>
      </c>
      <c r="N81" s="41" t="str">
        <f>IF(Input!$B$8=0,"",Input!$B$8)</f>
        <v/>
      </c>
      <c r="O81" s="34" t="s">
        <v>58</v>
      </c>
    </row>
    <row r="82" spans="2:15" s="57" customFormat="1" x14ac:dyDescent="0.2">
      <c r="B82" s="45" t="s">
        <v>360</v>
      </c>
      <c r="C82" s="41">
        <f>Input!$B$7</f>
        <v>25</v>
      </c>
      <c r="D82" s="42" t="str">
        <f>Input!$B$9</f>
        <v>LW903</v>
      </c>
      <c r="E82" s="42">
        <f>Input!$B$10</f>
        <v>1422</v>
      </c>
      <c r="F82" s="43">
        <f>Input!$B$5</f>
        <v>43900</v>
      </c>
      <c r="G82" s="34" t="s">
        <v>0</v>
      </c>
      <c r="H82" s="34" t="s">
        <v>141</v>
      </c>
      <c r="I82" s="34">
        <v>78</v>
      </c>
      <c r="J82" s="41">
        <f>IF(Input!$B$12="2D","",INDEX(Input!$I$21:$I$146,MATCH(Table4[[#This Row],[MARK ID]],Input!$H$21:$H$146,0)))</f>
        <v>287886.5171</v>
      </c>
      <c r="K82" s="41">
        <f>IF(Input!$B$12="2D","",INDEX(Input!$J$21:$J$146,MATCH(Table4[[#This Row],[MARK ID]],Input!$H$21:$H$146,0)))</f>
        <v>6216174.8088999996</v>
      </c>
      <c r="L82" s="24">
        <f>IFERROR(IF(Table4[[#This Row],[JOB NAME]]="A9MR",INDEX(Table9[R.L.],MATCH(Table4[[#This Row],[MARK ID]],Table9[Point],0)),INDEX(Table96[R.L.],MATCH(Table4[[#This Row],[MARK ID]],Table96[Point],0))),"")</f>
        <v>166.56874793388465</v>
      </c>
      <c r="M8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21.000380341794195</v>
      </c>
      <c r="N82" s="41" t="str">
        <f>IF(Input!$B$8=0,"",Input!$B$8)</f>
        <v/>
      </c>
      <c r="O82" s="34" t="s">
        <v>58</v>
      </c>
    </row>
    <row r="83" spans="2:15" s="57" customFormat="1" x14ac:dyDescent="0.2">
      <c r="B83" s="45" t="s">
        <v>360</v>
      </c>
      <c r="C83" s="41">
        <f>Input!$B$7</f>
        <v>25</v>
      </c>
      <c r="D83" s="42" t="str">
        <f>Input!$B$9</f>
        <v>LW903</v>
      </c>
      <c r="E83" s="42">
        <f>Input!$B$10</f>
        <v>1422</v>
      </c>
      <c r="F83" s="43">
        <f>Input!$B$5</f>
        <v>43900</v>
      </c>
      <c r="G83" s="34" t="s">
        <v>0</v>
      </c>
      <c r="H83" s="45" t="s">
        <v>142</v>
      </c>
      <c r="I83" s="34">
        <v>79</v>
      </c>
      <c r="J83" s="41">
        <f>IF(Input!$B$12="2D","",INDEX(Input!$I$21:$I$146,MATCH(Table4[[#This Row],[MARK ID]],Input!$H$21:$H$146,0)))</f>
        <v>287906.2317</v>
      </c>
      <c r="K83" s="41">
        <f>IF(Input!$B$12="2D","",INDEX(Input!$J$21:$J$146,MATCH(Table4[[#This Row],[MARK ID]],Input!$H$21:$H$146,0)))</f>
        <v>6216182.0522999996</v>
      </c>
      <c r="L83" s="24">
        <f>IFERROR(IF(Table4[[#This Row],[JOB NAME]]="A9MR",INDEX(Table9[R.L.],MATCH(Table4[[#This Row],[MARK ID]],Table9[Point],0)),INDEX(Table96[R.L.],MATCH(Table4[[#This Row],[MARK ID]],Table96[Point],0))),"")</f>
        <v>168.7665655991739</v>
      </c>
      <c r="M8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18.628595330834905</v>
      </c>
      <c r="N83" s="41" t="str">
        <f>IF(Input!$B$8=0,"",Input!$B$8)</f>
        <v/>
      </c>
      <c r="O83" s="34" t="s">
        <v>58</v>
      </c>
    </row>
    <row r="84" spans="2:15" s="57" customFormat="1" x14ac:dyDescent="0.2">
      <c r="B84" s="45" t="s">
        <v>360</v>
      </c>
      <c r="C84" s="41">
        <f>Input!$B$7</f>
        <v>25</v>
      </c>
      <c r="D84" s="42" t="str">
        <f>Input!$B$9</f>
        <v>LW903</v>
      </c>
      <c r="E84" s="42">
        <f>Input!$B$10</f>
        <v>1422</v>
      </c>
      <c r="F84" s="43">
        <f>Input!$B$5</f>
        <v>43900</v>
      </c>
      <c r="G84" s="34" t="s">
        <v>0</v>
      </c>
      <c r="H84" s="34" t="s">
        <v>143</v>
      </c>
      <c r="I84" s="34">
        <v>80</v>
      </c>
      <c r="J84" s="41">
        <f>IF(Input!$B$12="2D","",INDEX(Input!$I$21:$I$146,MATCH(Table4[[#This Row],[MARK ID]],Input!$H$21:$H$146,0)))</f>
        <v>287922.49369999999</v>
      </c>
      <c r="K84" s="41">
        <f>IF(Input!$B$12="2D","",INDEX(Input!$J$21:$J$146,MATCH(Table4[[#This Row],[MARK ID]],Input!$H$21:$H$146,0)))</f>
        <v>6216191.1442</v>
      </c>
      <c r="L84" s="24">
        <f>IFERROR(IF(Table4[[#This Row],[JOB NAME]]="A9MR",INDEX(Table9[R.L.],MATCH(Table4[[#This Row],[MARK ID]],Table9[Point],0)),INDEX(Table96[R.L.],MATCH(Table4[[#This Row],[MARK ID]],Table96[Point],0))),"")</f>
        <v>170.65688810077268</v>
      </c>
      <c r="M8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64.587477056314739</v>
      </c>
      <c r="N84" s="41" t="str">
        <f>IF(Input!$B$8=0,"",Input!$B$8)</f>
        <v/>
      </c>
      <c r="O84" s="34" t="s">
        <v>58</v>
      </c>
    </row>
    <row r="85" spans="2:15" s="57" customFormat="1" x14ac:dyDescent="0.2">
      <c r="B85" s="45" t="s">
        <v>360</v>
      </c>
      <c r="C85" s="41">
        <f>Input!$B$7</f>
        <v>25</v>
      </c>
      <c r="D85" s="42" t="str">
        <f>Input!$B$9</f>
        <v>LW903</v>
      </c>
      <c r="E85" s="42">
        <f>Input!$B$10</f>
        <v>1422</v>
      </c>
      <c r="F85" s="43">
        <f>Input!$B$5</f>
        <v>43900</v>
      </c>
      <c r="G85" s="34" t="s">
        <v>0</v>
      </c>
      <c r="H85" s="34" t="s">
        <v>471</v>
      </c>
      <c r="I85" s="34">
        <v>81</v>
      </c>
      <c r="J85" s="41">
        <f>IF(Input!$B$12="2D","",INDEX(Input!$I$21:$I$146,MATCH(Table4[[#This Row],[MARK ID]],Input!$H$21:$H$146,0)))</f>
        <v>287991.4743</v>
      </c>
      <c r="K85" s="41">
        <f>IF(Input!$B$12="2D","",INDEX(Input!$J$21:$J$146,MATCH(Table4[[#This Row],[MARK ID]],Input!$H$21:$H$146,0)))</f>
        <v>6216171.6869000001</v>
      </c>
      <c r="L85" s="24">
        <f>IFERROR(IF(Table4[[#This Row],[JOB NAME]]="A9MR",INDEX(Table9[R.L.],MATCH(Table4[[#This Row],[MARK ID]],Table9[Point],0)),INDEX(Table96[R.L.],MATCH(Table4[[#This Row],[MARK ID]],Table96[Point],0))),"")</f>
        <v>188.44577548209401</v>
      </c>
      <c r="M8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21.690745889665184</v>
      </c>
      <c r="N85" s="41" t="str">
        <f>IF(Input!$B$8=0,"",Input!$B$8)</f>
        <v/>
      </c>
      <c r="O85" s="34" t="s">
        <v>58</v>
      </c>
    </row>
    <row r="86" spans="2:15" x14ac:dyDescent="0.2">
      <c r="B86" s="45" t="s">
        <v>360</v>
      </c>
      <c r="C86" s="41">
        <f>Input!$B$7</f>
        <v>25</v>
      </c>
      <c r="D86" s="42" t="str">
        <f>Input!$B$9</f>
        <v>LW903</v>
      </c>
      <c r="E86" s="42">
        <f>Input!$B$10</f>
        <v>1422</v>
      </c>
      <c r="F86" s="43">
        <f>Input!$B$5</f>
        <v>43900</v>
      </c>
      <c r="G86" s="34" t="s">
        <v>0</v>
      </c>
      <c r="H86" s="34" t="s">
        <v>474</v>
      </c>
      <c r="I86" s="34">
        <v>82</v>
      </c>
      <c r="J86" s="41">
        <f>IF(Input!$B$12="2D","",INDEX(Input!$I$21:$I$146,MATCH(Table4[[#This Row],[MARK ID]],Input!$H$21:$H$146,0)))</f>
        <v>288000.86680000002</v>
      </c>
      <c r="K86" s="41">
        <f>IF(Input!$B$12="2D","",INDEX(Input!$J$21:$J$146,MATCH(Table4[[#This Row],[MARK ID]],Input!$H$21:$H$146,0)))</f>
        <v>6216191.2423</v>
      </c>
      <c r="L86" s="24">
        <f>IFERROR(IF(Table4[[#This Row],[JOB NAME]]="A9MR",INDEX(Table9[R.L.],MATCH(Table4[[#This Row],[MARK ID]],Table9[Point],0)),INDEX(Table96[R.L.],MATCH(Table4[[#This Row],[MARK ID]],Table96[Point],0))),"")</f>
        <v>189.55585003443557</v>
      </c>
      <c r="M8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17.988383612764689</v>
      </c>
      <c r="N86" s="41" t="str">
        <f>IF(Input!$B$8=0,"",Input!$B$8)</f>
        <v/>
      </c>
      <c r="O86" s="34" t="s">
        <v>58</v>
      </c>
    </row>
    <row r="87" spans="2:15" x14ac:dyDescent="0.2">
      <c r="B87" s="45" t="s">
        <v>360</v>
      </c>
      <c r="C87" s="41">
        <f>Input!$B$7</f>
        <v>25</v>
      </c>
      <c r="D87" s="42" t="str">
        <f>Input!$B$9</f>
        <v>LW903</v>
      </c>
      <c r="E87" s="42">
        <f>Input!$B$10</f>
        <v>1422</v>
      </c>
      <c r="F87" s="43">
        <f>Input!$B$5</f>
        <v>43900</v>
      </c>
      <c r="G87" s="34" t="s">
        <v>0</v>
      </c>
      <c r="H87" s="34" t="s">
        <v>477</v>
      </c>
      <c r="I87" s="34">
        <v>83</v>
      </c>
      <c r="J87" s="41">
        <f>IF(Input!$B$12="2D","",INDEX(Input!$I$21:$I$146,MATCH(Table4[[#This Row],[MARK ID]],Input!$H$21:$H$146,0)))</f>
        <v>288010.9374</v>
      </c>
      <c r="K87" s="41">
        <f>IF(Input!$B$12="2D","",INDEX(Input!$J$21:$J$146,MATCH(Table4[[#This Row],[MARK ID]],Input!$H$21:$H$146,0)))</f>
        <v>6216206.1496000001</v>
      </c>
      <c r="L87" s="24">
        <f>IFERROR(IF(Table4[[#This Row],[JOB NAME]]="A9MR",INDEX(Table9[R.L.],MATCH(Table4[[#This Row],[MARK ID]],Table9[Point],0)),INDEX(Table96[R.L.],MATCH(Table4[[#This Row],[MARK ID]],Table96[Point],0))),"")</f>
        <v>189.3454245867772</v>
      </c>
      <c r="M8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22.303857827738717</v>
      </c>
      <c r="N87" s="41" t="str">
        <f>IF(Input!$B$8=0,"",Input!$B$8)</f>
        <v/>
      </c>
      <c r="O87" s="34" t="s">
        <v>58</v>
      </c>
    </row>
    <row r="88" spans="2:15" x14ac:dyDescent="0.2">
      <c r="B88" s="45" t="s">
        <v>360</v>
      </c>
      <c r="C88" s="41">
        <f>Input!$B$7</f>
        <v>25</v>
      </c>
      <c r="D88" s="42" t="str">
        <f>Input!$B$9</f>
        <v>LW903</v>
      </c>
      <c r="E88" s="42">
        <f>Input!$B$10</f>
        <v>1422</v>
      </c>
      <c r="F88" s="43">
        <f>Input!$B$5</f>
        <v>43900</v>
      </c>
      <c r="G88" s="34" t="s">
        <v>0</v>
      </c>
      <c r="H88" s="34" t="s">
        <v>494</v>
      </c>
      <c r="I88" s="34">
        <v>84</v>
      </c>
      <c r="J88" s="41">
        <f>IF(Input!$B$12="2D","",INDEX(Input!$I$21:$I$146,MATCH(Table4[[#This Row],[MARK ID]],Input!$H$21:$H$146,0)))</f>
        <v>288026.527</v>
      </c>
      <c r="K88" s="41">
        <f>IF(Input!$B$12="2D","",INDEX(Input!$J$21:$J$146,MATCH(Table4[[#This Row],[MARK ID]],Input!$H$21:$H$146,0)))</f>
        <v>6216222.1041999999</v>
      </c>
      <c r="L88" s="24">
        <f>IFERROR(IF(Table4[[#This Row],[JOB NAME]]="A9MR",INDEX(Table9[R.L.],MATCH(Table4[[#This Row],[MARK ID]],Table9[Point],0)),INDEX(Table96[R.L.],MATCH(Table4[[#This Row],[MARK ID]],Table96[Point],0))),"")</f>
        <v>186.46491404958715</v>
      </c>
      <c r="M8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24.635425326143146</v>
      </c>
      <c r="N88" s="41" t="str">
        <f>IF(Input!$B$8=0,"",Input!$B$8)</f>
        <v/>
      </c>
      <c r="O88" s="34" t="s">
        <v>58</v>
      </c>
    </row>
    <row r="89" spans="2:15" x14ac:dyDescent="0.2">
      <c r="B89" s="45" t="s">
        <v>360</v>
      </c>
      <c r="C89" s="41">
        <f>Input!$B$7</f>
        <v>25</v>
      </c>
      <c r="D89" s="42" t="str">
        <f>Input!$B$9</f>
        <v>LW903</v>
      </c>
      <c r="E89" s="42">
        <f>Input!$B$10</f>
        <v>1422</v>
      </c>
      <c r="F89" s="43">
        <f>Input!$B$5</f>
        <v>43900</v>
      </c>
      <c r="G89" s="34" t="s">
        <v>0</v>
      </c>
      <c r="H89" s="34" t="s">
        <v>500</v>
      </c>
      <c r="I89" s="34">
        <v>85</v>
      </c>
      <c r="J89" s="41">
        <f>IF(Input!$B$12="2D","",INDEX(Input!$I$21:$I$146,MATCH(Table4[[#This Row],[MARK ID]],Input!$H$21:$H$146,0)))</f>
        <v>288047.27789999999</v>
      </c>
      <c r="K89" s="41">
        <f>IF(Input!$B$12="2D","",INDEX(Input!$J$21:$J$146,MATCH(Table4[[#This Row],[MARK ID]],Input!$H$21:$H$146,0)))</f>
        <v>6216235.3885000004</v>
      </c>
      <c r="L89" s="24">
        <f>IFERROR(IF(Table4[[#This Row],[JOB NAME]]="A9MR",INDEX(Table9[R.L.],MATCH(Table4[[#This Row],[MARK ID]],Table9[Point],0)),INDEX(Table96[R.L.],MATCH(Table4[[#This Row],[MARK ID]],Table96[Point],0))),"")</f>
        <v>181.39464824380195</v>
      </c>
      <c r="M8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20.148090635341855</v>
      </c>
      <c r="N89" s="41" t="str">
        <f>IF(Input!$B$8=0,"",Input!$B$8)</f>
        <v/>
      </c>
      <c r="O89" s="34" t="s">
        <v>58</v>
      </c>
    </row>
    <row r="90" spans="2:15" x14ac:dyDescent="0.2">
      <c r="B90" s="45" t="s">
        <v>360</v>
      </c>
      <c r="C90" s="41">
        <f>Input!$B$7</f>
        <v>25</v>
      </c>
      <c r="D90" s="42" t="str">
        <f>Input!$B$9</f>
        <v>LW903</v>
      </c>
      <c r="E90" s="42">
        <f>Input!$B$10</f>
        <v>1422</v>
      </c>
      <c r="F90" s="43">
        <f>Input!$B$5</f>
        <v>43900</v>
      </c>
      <c r="G90" s="34" t="s">
        <v>0</v>
      </c>
      <c r="H90" s="34" t="s">
        <v>508</v>
      </c>
      <c r="I90" s="34">
        <v>86</v>
      </c>
      <c r="J90" s="41">
        <f>IF(Input!$B$12="2D","",INDEX(Input!$I$21:$I$146,MATCH(Table4[[#This Row],[MARK ID]],Input!$H$21:$H$146,0)))</f>
        <v>288064.43160000001</v>
      </c>
      <c r="K90" s="41">
        <f>IF(Input!$B$12="2D","",INDEX(Input!$J$21:$J$146,MATCH(Table4[[#This Row],[MARK ID]],Input!$H$21:$H$146,0)))</f>
        <v>6216245.9616999999</v>
      </c>
      <c r="L90" s="24">
        <f>IFERROR(IF(Table4[[#This Row],[JOB NAME]]="A9MR",INDEX(Table9[R.L.],MATCH(Table4[[#This Row],[MARK ID]],Table9[Point],0)),INDEX(Table96[R.L.],MATCH(Table4[[#This Row],[MARK ID]],Table96[Point],0))),"")</f>
        <v>176.66948870093003</v>
      </c>
      <c r="M9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18.703263438501864</v>
      </c>
      <c r="N90" s="41" t="str">
        <f>IF(Input!$B$8=0,"",Input!$B$8)</f>
        <v/>
      </c>
      <c r="O90" s="34" t="s">
        <v>58</v>
      </c>
    </row>
    <row r="91" spans="2:15" x14ac:dyDescent="0.2">
      <c r="B91" s="45" t="s">
        <v>360</v>
      </c>
      <c r="C91" s="41">
        <f>Input!$B$7</f>
        <v>25</v>
      </c>
      <c r="D91" s="42" t="str">
        <f>Input!$B$9</f>
        <v>LW903</v>
      </c>
      <c r="E91" s="42">
        <f>Input!$B$10</f>
        <v>1422</v>
      </c>
      <c r="F91" s="43">
        <f>Input!$B$5</f>
        <v>43900</v>
      </c>
      <c r="G91" s="34" t="s">
        <v>0</v>
      </c>
      <c r="H91" s="34" t="s">
        <v>514</v>
      </c>
      <c r="I91" s="34">
        <v>87</v>
      </c>
      <c r="J91" s="41">
        <f>IF(Input!$B$12="2D","",INDEX(Input!$I$21:$I$146,MATCH(Table4[[#This Row],[MARK ID]],Input!$H$21:$H$146,0)))</f>
        <v>288080.32829999999</v>
      </c>
      <c r="K91" s="41">
        <f>IF(Input!$B$12="2D","",INDEX(Input!$J$21:$J$146,MATCH(Table4[[#This Row],[MARK ID]],Input!$H$21:$H$146,0)))</f>
        <v>6216255.8211000003</v>
      </c>
      <c r="L91" s="24">
        <f>IFERROR(IF(Table4[[#This Row],[JOB NAME]]="A9MR",INDEX(Table9[R.L.],MATCH(Table4[[#This Row],[MARK ID]],Table9[Point],0)),INDEX(Table96[R.L.],MATCH(Table4[[#This Row],[MARK ID]],Table96[Point],0))),"")</f>
        <v>173.90882915805818</v>
      </c>
      <c r="M9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20.553990129657464</v>
      </c>
      <c r="N91" s="41" t="str">
        <f>IF(Input!$B$8=0,"",Input!$B$8)</f>
        <v/>
      </c>
      <c r="O91" s="34" t="s">
        <v>58</v>
      </c>
    </row>
    <row r="92" spans="2:15" x14ac:dyDescent="0.2">
      <c r="B92" s="45" t="s">
        <v>360</v>
      </c>
      <c r="C92" s="41">
        <f>Input!$B$7</f>
        <v>25</v>
      </c>
      <c r="D92" s="42" t="str">
        <f>Input!$B$9</f>
        <v>LW903</v>
      </c>
      <c r="E92" s="42">
        <f>Input!$B$10</f>
        <v>1422</v>
      </c>
      <c r="F92" s="43">
        <f>Input!$B$5</f>
        <v>43900</v>
      </c>
      <c r="G92" s="34" t="s">
        <v>0</v>
      </c>
      <c r="H92" s="34" t="s">
        <v>529</v>
      </c>
      <c r="I92" s="34">
        <v>88</v>
      </c>
      <c r="J92" s="41">
        <f>IF(Input!$B$12="2D","",INDEX(Input!$I$21:$I$146,MATCH(Table4[[#This Row],[MARK ID]],Input!$H$21:$H$146,0)))</f>
        <v>288099.09909999999</v>
      </c>
      <c r="K92" s="41">
        <f>IF(Input!$B$12="2D","",INDEX(Input!$J$21:$J$146,MATCH(Table4[[#This Row],[MARK ID]],Input!$H$21:$H$146,0)))</f>
        <v>6216264.2002999997</v>
      </c>
      <c r="L92" s="24">
        <f>IFERROR(IF(Table4[[#This Row],[JOB NAME]]="A9MR",INDEX(Table9[R.L.],MATCH(Table4[[#This Row],[MARK ID]],Table9[Point],0)),INDEX(Table96[R.L.],MATCH(Table4[[#This Row],[MARK ID]],Table96[Point],0))),"")</f>
        <v>171.05716961518627</v>
      </c>
      <c r="M9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21.36587060009429</v>
      </c>
      <c r="N92" s="41" t="str">
        <f>IF(Input!$B$8=0,"",Input!$B$8)</f>
        <v/>
      </c>
      <c r="O92" s="34" t="s">
        <v>58</v>
      </c>
    </row>
    <row r="93" spans="2:15" x14ac:dyDescent="0.2">
      <c r="B93" s="45" t="s">
        <v>360</v>
      </c>
      <c r="C93" s="41">
        <f>Input!$B$7</f>
        <v>25</v>
      </c>
      <c r="D93" s="42" t="str">
        <f>Input!$B$9</f>
        <v>LW903</v>
      </c>
      <c r="E93" s="42">
        <f>Input!$B$10</f>
        <v>1422</v>
      </c>
      <c r="F93" s="43">
        <f>Input!$B$5</f>
        <v>43900</v>
      </c>
      <c r="G93" s="34" t="s">
        <v>0</v>
      </c>
      <c r="H93" s="34" t="s">
        <v>532</v>
      </c>
      <c r="I93" s="34">
        <v>89</v>
      </c>
      <c r="J93" s="41">
        <f>IF(Input!$B$12="2D","",INDEX(Input!$I$21:$I$146,MATCH(Table4[[#This Row],[MARK ID]],Input!$H$21:$H$146,0)))</f>
        <v>288118.89929999999</v>
      </c>
      <c r="K93" s="41">
        <f>IF(Input!$B$12="2D","",INDEX(Input!$J$21:$J$146,MATCH(Table4[[#This Row],[MARK ID]],Input!$H$21:$H$146,0)))</f>
        <v>6216272.2369999997</v>
      </c>
      <c r="L93" s="24">
        <f>IFERROR(IF(Table4[[#This Row],[JOB NAME]]="A9MR",INDEX(Table9[R.L.],MATCH(Table4[[#This Row],[MARK ID]],Table9[Point],0)),INDEX(Table96[R.L.],MATCH(Table4[[#This Row],[MARK ID]],Table96[Point],0))),"")</f>
        <v>168.20601007231437</v>
      </c>
      <c r="M9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18.441548070863572</v>
      </c>
      <c r="N93" s="41" t="str">
        <f>IF(Input!$B$8=0,"",Input!$B$8)</f>
        <v/>
      </c>
      <c r="O93" s="34" t="s">
        <v>58</v>
      </c>
    </row>
    <row r="94" spans="2:15" x14ac:dyDescent="0.2">
      <c r="B94" s="45" t="s">
        <v>360</v>
      </c>
      <c r="C94" s="41">
        <f>Input!$B$7</f>
        <v>25</v>
      </c>
      <c r="D94" s="42" t="str">
        <f>Input!$B$9</f>
        <v>LW903</v>
      </c>
      <c r="E94" s="42">
        <f>Input!$B$10</f>
        <v>1422</v>
      </c>
      <c r="F94" s="43">
        <f>Input!$B$5</f>
        <v>43900</v>
      </c>
      <c r="G94" s="34" t="s">
        <v>0</v>
      </c>
      <c r="H94" s="34" t="s">
        <v>535</v>
      </c>
      <c r="I94" s="34">
        <v>90</v>
      </c>
      <c r="J94" s="41">
        <f>IF(Input!$B$12="2D","",INDEX(Input!$I$21:$I$146,MATCH(Table4[[#This Row],[MARK ID]],Input!$H$21:$H$146,0)))</f>
        <v>288135.92910000001</v>
      </c>
      <c r="K94" s="41">
        <f>IF(Input!$B$12="2D","",INDEX(Input!$J$21:$J$146,MATCH(Table4[[#This Row],[MARK ID]],Input!$H$21:$H$146,0)))</f>
        <v>6216279.3184000002</v>
      </c>
      <c r="L94" s="24">
        <f>IFERROR(IF(Table4[[#This Row],[JOB NAME]]="A9MR",INDEX(Table9[R.L.],MATCH(Table4[[#This Row],[MARK ID]],Table9[Point],0)),INDEX(Table96[R.L.],MATCH(Table4[[#This Row],[MARK ID]],Table96[Point],0))),"")</f>
        <v>166.05585052944249</v>
      </c>
      <c r="M9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21.518968214113421</v>
      </c>
      <c r="N94" s="41" t="str">
        <f>IF(Input!$B$8=0,"",Input!$B$8)</f>
        <v/>
      </c>
      <c r="O94" s="34" t="s">
        <v>58</v>
      </c>
    </row>
    <row r="95" spans="2:15" x14ac:dyDescent="0.2">
      <c r="B95" s="45" t="s">
        <v>360</v>
      </c>
      <c r="C95" s="41">
        <f>Input!$B$7</f>
        <v>25</v>
      </c>
      <c r="D95" s="42" t="str">
        <f>Input!$B$9</f>
        <v>LW903</v>
      </c>
      <c r="E95" s="42">
        <f>Input!$B$10</f>
        <v>1422</v>
      </c>
      <c r="F95" s="43">
        <f>Input!$B$5</f>
        <v>43900</v>
      </c>
      <c r="G95" s="34" t="s">
        <v>0</v>
      </c>
      <c r="H95" s="34" t="s">
        <v>538</v>
      </c>
      <c r="I95" s="34">
        <v>91</v>
      </c>
      <c r="J95" s="41">
        <f>IF(Input!$B$12="2D","",INDEX(Input!$I$21:$I$146,MATCH(Table4[[#This Row],[MARK ID]],Input!$H$21:$H$146,0)))</f>
        <v>288155.85649999999</v>
      </c>
      <c r="K95" s="41">
        <f>IF(Input!$B$12="2D","",INDEX(Input!$J$21:$J$146,MATCH(Table4[[#This Row],[MARK ID]],Input!$H$21:$H$146,0)))</f>
        <v>6216287.4501</v>
      </c>
      <c r="L95" s="24">
        <f>IFERROR(IF(Table4[[#This Row],[JOB NAME]]="A9MR",INDEX(Table9[R.L.],MATCH(Table4[[#This Row],[MARK ID]],Table9[Point],0)),INDEX(Table96[R.L.],MATCH(Table4[[#This Row],[MARK ID]],Table96[Point],0))),"")</f>
        <v>164.14319098657057</v>
      </c>
      <c r="M9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19.465151714024852</v>
      </c>
      <c r="N95" s="41" t="str">
        <f>IF(Input!$B$8=0,"",Input!$B$8)</f>
        <v/>
      </c>
      <c r="O95" s="34" t="s">
        <v>58</v>
      </c>
    </row>
    <row r="96" spans="2:15" x14ac:dyDescent="0.2">
      <c r="B96" s="45" t="s">
        <v>360</v>
      </c>
      <c r="C96" s="41">
        <f>Input!$B$7</f>
        <v>25</v>
      </c>
      <c r="D96" s="42" t="str">
        <f>Input!$B$9</f>
        <v>LW903</v>
      </c>
      <c r="E96" s="42">
        <f>Input!$B$10</f>
        <v>1422</v>
      </c>
      <c r="F96" s="43">
        <f>Input!$B$5</f>
        <v>43900</v>
      </c>
      <c r="G96" s="34" t="s">
        <v>0</v>
      </c>
      <c r="H96" s="34" t="s">
        <v>541</v>
      </c>
      <c r="I96" s="34">
        <v>92</v>
      </c>
      <c r="J96" s="41">
        <f>IF(Input!$B$12="2D","",INDEX(Input!$I$21:$I$146,MATCH(Table4[[#This Row],[MARK ID]],Input!$H$21:$H$146,0)))</f>
        <v>288173.82799999998</v>
      </c>
      <c r="K96" s="41">
        <f>IF(Input!$B$12="2D","",INDEX(Input!$J$21:$J$146,MATCH(Table4[[#This Row],[MARK ID]],Input!$H$21:$H$146,0)))</f>
        <v>6216294.9340000004</v>
      </c>
      <c r="L96" s="24">
        <f>IFERROR(IF(Table4[[#This Row],[JOB NAME]]="A9MR",INDEX(Table9[R.L.],MATCH(Table4[[#This Row],[MARK ID]],Table9[Point],0)),INDEX(Table96[R.L.],MATCH(Table4[[#This Row],[MARK ID]],Table96[Point],0))),"")</f>
        <v>162.35253144369867</v>
      </c>
      <c r="M9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18.937555313449863</v>
      </c>
      <c r="N96" s="41" t="str">
        <f>IF(Input!$B$8=0,"",Input!$B$8)</f>
        <v/>
      </c>
      <c r="O96" s="34" t="s">
        <v>58</v>
      </c>
    </row>
    <row r="97" spans="2:15" x14ac:dyDescent="0.2">
      <c r="B97" s="45" t="s">
        <v>360</v>
      </c>
      <c r="C97" s="41">
        <f>Input!$B$7</f>
        <v>25</v>
      </c>
      <c r="D97" s="42" t="str">
        <f>Input!$B$9</f>
        <v>LW903</v>
      </c>
      <c r="E97" s="42">
        <f>Input!$B$10</f>
        <v>1422</v>
      </c>
      <c r="F97" s="43">
        <f>Input!$B$5</f>
        <v>43900</v>
      </c>
      <c r="G97" s="34" t="s">
        <v>0</v>
      </c>
      <c r="H97" s="34" t="s">
        <v>544</v>
      </c>
      <c r="I97" s="34">
        <v>93</v>
      </c>
      <c r="J97" s="41">
        <f>IF(Input!$B$12="2D","",INDEX(Input!$I$21:$I$146,MATCH(Table4[[#This Row],[MARK ID]],Input!$H$21:$H$146,0)))</f>
        <v>288191.31910000002</v>
      </c>
      <c r="K97" s="41">
        <f>IF(Input!$B$12="2D","",INDEX(Input!$J$21:$J$146,MATCH(Table4[[#This Row],[MARK ID]],Input!$H$21:$H$146,0)))</f>
        <v>6216302.2000000002</v>
      </c>
      <c r="L97" s="24">
        <f>IFERROR(IF(Table4[[#This Row],[JOB NAME]]="A9MR",INDEX(Table9[R.L.],MATCH(Table4[[#This Row],[MARK ID]],Table9[Point],0)),INDEX(Table96[R.L.],MATCH(Table4[[#This Row],[MARK ID]],Table96[Point],0))),"")</f>
        <v>160.81187190082676</v>
      </c>
      <c r="M9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18.763434347155425</v>
      </c>
      <c r="N97" s="41" t="str">
        <f>IF(Input!$B$8=0,"",Input!$B$8)</f>
        <v/>
      </c>
      <c r="O97" s="34" t="s">
        <v>58</v>
      </c>
    </row>
    <row r="98" spans="2:15" x14ac:dyDescent="0.2">
      <c r="B98" s="45" t="s">
        <v>360</v>
      </c>
      <c r="C98" s="41">
        <f>Input!$B$7</f>
        <v>25</v>
      </c>
      <c r="D98" s="42" t="str">
        <f>Input!$B$9</f>
        <v>LW903</v>
      </c>
      <c r="E98" s="42">
        <f>Input!$B$10</f>
        <v>1422</v>
      </c>
      <c r="F98" s="43">
        <f>Input!$B$5</f>
        <v>43900</v>
      </c>
      <c r="G98" s="34" t="s">
        <v>0</v>
      </c>
      <c r="H98" s="34" t="s">
        <v>554</v>
      </c>
      <c r="I98" s="34">
        <v>94</v>
      </c>
      <c r="J98" s="41">
        <f>IF(Input!$B$12="2D","",INDEX(Input!$I$21:$I$146,MATCH(Table4[[#This Row],[MARK ID]],Input!$H$21:$H$146,0)))</f>
        <v>288208.68</v>
      </c>
      <c r="K98" s="41">
        <f>IF(Input!$B$12="2D","",INDEX(Input!$J$21:$J$146,MATCH(Table4[[#This Row],[MARK ID]],Input!$H$21:$H$146,0)))</f>
        <v>6216309.3229</v>
      </c>
      <c r="L98" s="24">
        <f>IFERROR(IF(Table4[[#This Row],[JOB NAME]]="A9MR",INDEX(Table9[R.L.],MATCH(Table4[[#This Row],[MARK ID]],Table9[Point],0)),INDEX(Table96[R.L.],MATCH(Table4[[#This Row],[MARK ID]],Table96[Point],0))),"")</f>
        <v>159.63076553891219</v>
      </c>
      <c r="M9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18.841807748992224</v>
      </c>
      <c r="N98" s="41" t="str">
        <f>IF(Input!$B$8=0,"",Input!$B$8)</f>
        <v/>
      </c>
      <c r="O98" s="34" t="s">
        <v>58</v>
      </c>
    </row>
    <row r="99" spans="2:15" x14ac:dyDescent="0.2">
      <c r="B99" s="45" t="s">
        <v>360</v>
      </c>
      <c r="C99" s="41">
        <f>Input!$B$7</f>
        <v>25</v>
      </c>
      <c r="D99" s="42" t="str">
        <f>Input!$B$9</f>
        <v>LW903</v>
      </c>
      <c r="E99" s="42">
        <f>Input!$B$10</f>
        <v>1422</v>
      </c>
      <c r="F99" s="43">
        <f>Input!$B$5</f>
        <v>43900</v>
      </c>
      <c r="G99" s="34" t="s">
        <v>0</v>
      </c>
      <c r="H99" s="34" t="s">
        <v>557</v>
      </c>
      <c r="I99" s="34">
        <v>95</v>
      </c>
      <c r="J99" s="41">
        <f>IF(Input!$B$12="2D","",INDEX(Input!$I$21:$I$146,MATCH(Table4[[#This Row],[MARK ID]],Input!$H$21:$H$146,0)))</f>
        <v>288226.09169999999</v>
      </c>
      <c r="K99" s="41">
        <f>IF(Input!$B$12="2D","",INDEX(Input!$J$21:$J$146,MATCH(Table4[[#This Row],[MARK ID]],Input!$H$21:$H$146,0)))</f>
        <v>6216316.5314999996</v>
      </c>
      <c r="L99" s="24">
        <f>IFERROR(IF(Table4[[#This Row],[JOB NAME]]="A9MR",INDEX(Table9[R.L.],MATCH(Table4[[#This Row],[MARK ID]],Table9[Point],0)),INDEX(Table96[R.L.],MATCH(Table4[[#This Row],[MARK ID]],Table96[Point],0))),"")</f>
        <v>158.3626591769976</v>
      </c>
      <c r="M9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21.663136245706557</v>
      </c>
      <c r="N99" s="41" t="str">
        <f>IF(Input!$B$8=0,"",Input!$B$8)</f>
        <v/>
      </c>
      <c r="O99" s="34" t="s">
        <v>58</v>
      </c>
    </row>
    <row r="100" spans="2:15" x14ac:dyDescent="0.2">
      <c r="B100" s="45" t="s">
        <v>360</v>
      </c>
      <c r="C100" s="41">
        <f>Input!$B$7</f>
        <v>25</v>
      </c>
      <c r="D100" s="42" t="str">
        <f>Input!$B$9</f>
        <v>LW903</v>
      </c>
      <c r="E100" s="42">
        <f>Input!$B$10</f>
        <v>1422</v>
      </c>
      <c r="F100" s="43">
        <f>Input!$B$5</f>
        <v>43900</v>
      </c>
      <c r="G100" s="34" t="s">
        <v>0</v>
      </c>
      <c r="H100" s="34" t="s">
        <v>560</v>
      </c>
      <c r="I100" s="34">
        <v>96</v>
      </c>
      <c r="J100" s="41">
        <f>IF(Input!$B$12="2D","",INDEX(Input!$I$21:$I$146,MATCH(Table4[[#This Row],[MARK ID]],Input!$H$21:$H$146,0)))</f>
        <v>288246.201</v>
      </c>
      <c r="K100" s="41">
        <f>IF(Input!$B$12="2D","",INDEX(Input!$J$21:$J$146,MATCH(Table4[[#This Row],[MARK ID]],Input!$H$21:$H$146,0)))</f>
        <v>6216324.5953000002</v>
      </c>
      <c r="L100" s="24">
        <f>IFERROR(IF(Table4[[#This Row],[JOB NAME]]="A9MR",INDEX(Table9[R.L.],MATCH(Table4[[#This Row],[MARK ID]],Table9[Point],0)),INDEX(Table96[R.L.],MATCH(Table4[[#This Row],[MARK ID]],Table96[Point],0))),"")</f>
        <v>156.92955281508296</v>
      </c>
      <c r="M10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18.654991021171991</v>
      </c>
      <c r="N100" s="41" t="str">
        <f>IF(Input!$B$8=0,"",Input!$B$8)</f>
        <v/>
      </c>
      <c r="O100" s="34" t="s">
        <v>58</v>
      </c>
    </row>
    <row r="101" spans="2:15" x14ac:dyDescent="0.2">
      <c r="B101" s="45" t="s">
        <v>360</v>
      </c>
      <c r="C101" s="41">
        <f>Input!$B$7</f>
        <v>25</v>
      </c>
      <c r="D101" s="42" t="str">
        <f>Input!$B$9</f>
        <v>LW903</v>
      </c>
      <c r="E101" s="42">
        <f>Input!$B$10</f>
        <v>1422</v>
      </c>
      <c r="F101" s="43">
        <f>Input!$B$5</f>
        <v>43900</v>
      </c>
      <c r="G101" s="34" t="s">
        <v>0</v>
      </c>
      <c r="H101" s="34" t="s">
        <v>563</v>
      </c>
      <c r="I101" s="34">
        <v>97</v>
      </c>
      <c r="J101" s="41">
        <f>IF(Input!$B$12="2D","",INDEX(Input!$I$21:$I$146,MATCH(Table4[[#This Row],[MARK ID]],Input!$H$21:$H$146,0)))</f>
        <v>288263.49859999999</v>
      </c>
      <c r="K101" s="41">
        <f>IF(Input!$B$12="2D","",INDEX(Input!$J$21:$J$146,MATCH(Table4[[#This Row],[MARK ID]],Input!$H$21:$H$146,0)))</f>
        <v>6216331.5884999996</v>
      </c>
      <c r="L101" s="24">
        <f>IFERROR(IF(Table4[[#This Row],[JOB NAME]]="A9MR",INDEX(Table9[R.L.],MATCH(Table4[[#This Row],[MARK ID]],Table9[Point],0)),INDEX(Table96[R.L.],MATCH(Table4[[#This Row],[MARK ID]],Table96[Point],0))),"")</f>
        <v>155.8609464531684</v>
      </c>
      <c r="M10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20.873276371953242</v>
      </c>
      <c r="N101" s="41" t="str">
        <f>IF(Input!$B$8=0,"",Input!$B$8)</f>
        <v/>
      </c>
      <c r="O101" s="34" t="s">
        <v>58</v>
      </c>
    </row>
    <row r="102" spans="2:15" x14ac:dyDescent="0.2">
      <c r="B102" s="45" t="s">
        <v>360</v>
      </c>
      <c r="C102" s="41">
        <f>Input!$B$7</f>
        <v>25</v>
      </c>
      <c r="D102" s="42" t="str">
        <f>Input!$B$9</f>
        <v>LW903</v>
      </c>
      <c r="E102" s="42">
        <f>Input!$B$10</f>
        <v>1422</v>
      </c>
      <c r="F102" s="43">
        <f>Input!$B$5</f>
        <v>43900</v>
      </c>
      <c r="G102" s="34" t="s">
        <v>0</v>
      </c>
      <c r="H102" s="34" t="s">
        <v>566</v>
      </c>
      <c r="I102" s="34">
        <v>98</v>
      </c>
      <c r="J102" s="41">
        <f>IF(Input!$B$12="2D","",INDEX(Input!$I$21:$I$146,MATCH(Table4[[#This Row],[MARK ID]],Input!$H$21:$H$146,0)))</f>
        <v>288282.9791</v>
      </c>
      <c r="K102" s="41">
        <f>IF(Input!$B$12="2D","",INDEX(Input!$J$21:$J$146,MATCH(Table4[[#This Row],[MARK ID]],Input!$H$21:$H$146,0)))</f>
        <v>6216339.0928999996</v>
      </c>
      <c r="L102" s="24">
        <f>IFERROR(IF(Table4[[#This Row],[JOB NAME]]="A9MR",INDEX(Table9[R.L.],MATCH(Table4[[#This Row],[MARK ID]],Table9[Point],0)),INDEX(Table96[R.L.],MATCH(Table4[[#This Row],[MARK ID]],Table96[Point],0))),"")</f>
        <v>154.82284009125377</v>
      </c>
      <c r="M10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18.471586755068891</v>
      </c>
      <c r="N102" s="41" t="str">
        <f>IF(Input!$B$8=0,"",Input!$B$8)</f>
        <v/>
      </c>
      <c r="O102" s="34" t="s">
        <v>58</v>
      </c>
    </row>
    <row r="103" spans="2:15" x14ac:dyDescent="0.2">
      <c r="B103" s="45" t="s">
        <v>360</v>
      </c>
      <c r="C103" s="41">
        <f>Input!$B$7</f>
        <v>25</v>
      </c>
      <c r="D103" s="42" t="str">
        <f>Input!$B$9</f>
        <v>LW903</v>
      </c>
      <c r="E103" s="42">
        <f>Input!$B$10</f>
        <v>1422</v>
      </c>
      <c r="F103" s="43">
        <f>Input!$B$5</f>
        <v>43900</v>
      </c>
      <c r="G103" s="34" t="s">
        <v>0</v>
      </c>
      <c r="H103" s="34" t="s">
        <v>569</v>
      </c>
      <c r="I103" s="34">
        <v>99</v>
      </c>
      <c r="J103" s="41">
        <f>IF(Input!$B$12="2D","",INDEX(Input!$I$21:$I$146,MATCH(Table4[[#This Row],[MARK ID]],Input!$H$21:$H$146,0)))</f>
        <v>288300.3173</v>
      </c>
      <c r="K103" s="41">
        <f>IF(Input!$B$12="2D","",INDEX(Input!$J$21:$J$146,MATCH(Table4[[#This Row],[MARK ID]],Input!$H$21:$H$146,0)))</f>
        <v>6216345.4720999999</v>
      </c>
      <c r="L103" s="24">
        <f>IFERROR(IF(Table4[[#This Row],[JOB NAME]]="A9MR",INDEX(Table9[R.L.],MATCH(Table4[[#This Row],[MARK ID]],Table9[Point],0)),INDEX(Table96[R.L.],MATCH(Table4[[#This Row],[MARK ID]],Table96[Point],0))),"")</f>
        <v>154.0307337293392</v>
      </c>
      <c r="M10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21.050225800452278</v>
      </c>
      <c r="N103" s="41" t="str">
        <f>IF(Input!$B$8=0,"",Input!$B$8)</f>
        <v/>
      </c>
      <c r="O103" s="34" t="s">
        <v>58</v>
      </c>
    </row>
    <row r="104" spans="2:15" x14ac:dyDescent="0.2">
      <c r="B104" s="45" t="s">
        <v>360</v>
      </c>
      <c r="C104" s="41">
        <f>Input!$B$7</f>
        <v>25</v>
      </c>
      <c r="D104" s="42" t="str">
        <f>Input!$B$9</f>
        <v>LW903</v>
      </c>
      <c r="E104" s="42">
        <f>Input!$B$10</f>
        <v>1422</v>
      </c>
      <c r="F104" s="43">
        <f>Input!$B$5</f>
        <v>43900</v>
      </c>
      <c r="G104" s="34" t="s">
        <v>0</v>
      </c>
      <c r="H104" s="34" t="s">
        <v>572</v>
      </c>
      <c r="I104" s="34">
        <v>100</v>
      </c>
      <c r="J104" s="41">
        <f>IF(Input!$B$12="2D","",INDEX(Input!$I$21:$I$146,MATCH(Table4[[#This Row],[MARK ID]],Input!$H$21:$H$146,0)))</f>
        <v>288320.63260000001</v>
      </c>
      <c r="K104" s="41">
        <f>IF(Input!$B$12="2D","",INDEX(Input!$J$21:$J$146,MATCH(Table4[[#This Row],[MARK ID]],Input!$H$21:$H$146,0)))</f>
        <v>6216350.9926000005</v>
      </c>
      <c r="L104" s="24">
        <f>IFERROR(IF(Table4[[#This Row],[JOB NAME]]="A9MR",INDEX(Table9[R.L.],MATCH(Table4[[#This Row],[MARK ID]],Table9[Point],0)),INDEX(Table96[R.L.],MATCH(Table4[[#This Row],[MARK ID]],Table96[Point],0))),"")</f>
        <v>153.3196273674246</v>
      </c>
      <c r="M10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17.602465487822123</v>
      </c>
      <c r="N104" s="41" t="str">
        <f>IF(Input!$B$8=0,"",Input!$B$8)</f>
        <v/>
      </c>
      <c r="O104" s="34" t="s">
        <v>58</v>
      </c>
    </row>
    <row r="105" spans="2:15" x14ac:dyDescent="0.2">
      <c r="B105" s="45" t="s">
        <v>360</v>
      </c>
      <c r="C105" s="41">
        <f>Input!$B$7</f>
        <v>25</v>
      </c>
      <c r="D105" s="42" t="str">
        <f>Input!$B$9</f>
        <v>LW903</v>
      </c>
      <c r="E105" s="42">
        <f>Input!$B$10</f>
        <v>1422</v>
      </c>
      <c r="F105" s="43">
        <f>Input!$B$5</f>
        <v>43900</v>
      </c>
      <c r="G105" s="34" t="s">
        <v>0</v>
      </c>
      <c r="H105" s="34" t="s">
        <v>575</v>
      </c>
      <c r="I105" s="34">
        <v>101</v>
      </c>
      <c r="J105" s="41">
        <f>IF(Input!$B$12="2D","",INDEX(Input!$I$21:$I$146,MATCH(Table4[[#This Row],[MARK ID]],Input!$H$21:$H$146,0)))</f>
        <v>288338.05989999999</v>
      </c>
      <c r="K105" s="41">
        <f>IF(Input!$B$12="2D","",INDEX(Input!$J$21:$J$146,MATCH(Table4[[#This Row],[MARK ID]],Input!$H$21:$H$146,0)))</f>
        <v>6216353.4917000001</v>
      </c>
      <c r="L105" s="24">
        <f>IFERROR(IF(Table4[[#This Row],[JOB NAME]]="A9MR",INDEX(Table9[R.L.],MATCH(Table4[[#This Row],[MARK ID]],Table9[Point],0)),INDEX(Table96[R.L.],MATCH(Table4[[#This Row],[MARK ID]],Table96[Point],0))),"")</f>
        <v>152.79152100550999</v>
      </c>
      <c r="M10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21.73028578390031</v>
      </c>
      <c r="N105" s="41" t="str">
        <f>IF(Input!$B$8=0,"",Input!$B$8)</f>
        <v/>
      </c>
      <c r="O105" s="34" t="s">
        <v>58</v>
      </c>
    </row>
    <row r="106" spans="2:15" x14ac:dyDescent="0.2">
      <c r="B106" s="45" t="s">
        <v>360</v>
      </c>
      <c r="C106" s="41">
        <f>Input!$B$7</f>
        <v>25</v>
      </c>
      <c r="D106" s="42" t="str">
        <f>Input!$B$9</f>
        <v>LW903</v>
      </c>
      <c r="E106" s="42">
        <f>Input!$B$10</f>
        <v>1422</v>
      </c>
      <c r="F106" s="43">
        <f>Input!$B$5</f>
        <v>43900</v>
      </c>
      <c r="G106" s="34" t="s">
        <v>0</v>
      </c>
      <c r="H106" s="34" t="s">
        <v>578</v>
      </c>
      <c r="I106" s="34">
        <v>102</v>
      </c>
      <c r="J106" s="41">
        <f>IF(Input!$B$12="2D","",INDEX(Input!$I$21:$I$146,MATCH(Table4[[#This Row],[MARK ID]],Input!$H$21:$H$146,0)))</f>
        <v>288359.55450000003</v>
      </c>
      <c r="K106" s="41">
        <f>IF(Input!$B$12="2D","",INDEX(Input!$J$21:$J$146,MATCH(Table4[[#This Row],[MARK ID]],Input!$H$21:$H$146,0)))</f>
        <v>6216356.7023</v>
      </c>
      <c r="L106" s="24">
        <f>IFERROR(IF(Table4[[#This Row],[JOB NAME]]="A9MR",INDEX(Table9[R.L.],MATCH(Table4[[#This Row],[MARK ID]],Table9[Point],0)),INDEX(Table96[R.L.],MATCH(Table4[[#This Row],[MARK ID]],Table96[Point],0))),"")</f>
        <v>152.20941464359538</v>
      </c>
      <c r="M10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18.46430543643665</v>
      </c>
      <c r="N106" s="41" t="str">
        <f>IF(Input!$B$8=0,"",Input!$B$8)</f>
        <v/>
      </c>
      <c r="O106" s="34" t="s">
        <v>58</v>
      </c>
    </row>
    <row r="107" spans="2:15" x14ac:dyDescent="0.2">
      <c r="B107" s="45" t="s">
        <v>360</v>
      </c>
      <c r="C107" s="41">
        <f>Input!$B$7</f>
        <v>25</v>
      </c>
      <c r="D107" s="42" t="str">
        <f>Input!$B$9</f>
        <v>LW903</v>
      </c>
      <c r="E107" s="42">
        <f>Input!$B$10</f>
        <v>1422</v>
      </c>
      <c r="F107" s="43">
        <f>Input!$B$5</f>
        <v>43900</v>
      </c>
      <c r="G107" s="34" t="s">
        <v>0</v>
      </c>
      <c r="H107" s="34" t="s">
        <v>581</v>
      </c>
      <c r="I107" s="34">
        <v>103</v>
      </c>
      <c r="J107" s="41">
        <f>IF(Input!$B$12="2D","",INDEX(Input!$I$21:$I$146,MATCH(Table4[[#This Row],[MARK ID]],Input!$H$21:$H$146,0)))</f>
        <v>288377.82949999999</v>
      </c>
      <c r="K107" s="41">
        <f>IF(Input!$B$12="2D","",INDEX(Input!$J$21:$J$146,MATCH(Table4[[#This Row],[MARK ID]],Input!$H$21:$H$146,0)))</f>
        <v>6216359.3540000003</v>
      </c>
      <c r="L107" s="24">
        <f>IFERROR(IF(Table4[[#This Row],[JOB NAME]]="A9MR",INDEX(Table9[R.L.],MATCH(Table4[[#This Row],[MARK ID]],Table9[Point],0)),INDEX(Table96[R.L.],MATCH(Table4[[#This Row],[MARK ID]],Table96[Point],0))),"")</f>
        <v>151.3868082816808</v>
      </c>
      <c r="M10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21.880907413770043</v>
      </c>
      <c r="N107" s="41" t="str">
        <f>IF(Input!$B$8=0,"",Input!$B$8)</f>
        <v/>
      </c>
      <c r="O107" s="34" t="s">
        <v>58</v>
      </c>
    </row>
    <row r="108" spans="2:15" x14ac:dyDescent="0.2">
      <c r="B108" s="45" t="s">
        <v>360</v>
      </c>
      <c r="C108" s="41">
        <f>Input!$B$7</f>
        <v>25</v>
      </c>
      <c r="D108" s="42" t="str">
        <f>Input!$B$9</f>
        <v>LW903</v>
      </c>
      <c r="E108" s="42">
        <f>Input!$B$10</f>
        <v>1422</v>
      </c>
      <c r="F108" s="43">
        <f>Input!$B$5</f>
        <v>43900</v>
      </c>
      <c r="G108" s="34" t="s">
        <v>0</v>
      </c>
      <c r="H108" s="34" t="s">
        <v>584</v>
      </c>
      <c r="I108" s="34">
        <v>104</v>
      </c>
      <c r="J108" s="41">
        <f>IF(Input!$B$12="2D","",INDEX(Input!$I$21:$I$146,MATCH(Table4[[#This Row],[MARK ID]],Input!$H$21:$H$146,0)))</f>
        <v>288399.47899999999</v>
      </c>
      <c r="K108" s="41">
        <f>IF(Input!$B$12="2D","",INDEX(Input!$J$21:$J$146,MATCH(Table4[[#This Row],[MARK ID]],Input!$H$21:$H$146,0)))</f>
        <v>6216362.5504999999</v>
      </c>
      <c r="L108" s="24">
        <f>IFERROR(IF(Table4[[#This Row],[JOB NAME]]="A9MR",INDEX(Table9[R.L.],MATCH(Table4[[#This Row],[MARK ID]],Table9[Point],0)),INDEX(Table96[R.L.],MATCH(Table4[[#This Row],[MARK ID]],Table96[Point],0))),"")</f>
        <v>150.66620191976619</v>
      </c>
      <c r="M10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15.721589017972374</v>
      </c>
      <c r="N108" s="41" t="str">
        <f>IF(Input!$B$8=0,"",Input!$B$8)</f>
        <v/>
      </c>
      <c r="O108" s="34" t="s">
        <v>58</v>
      </c>
    </row>
    <row r="109" spans="2:15" x14ac:dyDescent="0.2">
      <c r="B109" s="45" t="s">
        <v>360</v>
      </c>
      <c r="C109" s="41">
        <f>Input!$B$7</f>
        <v>25</v>
      </c>
      <c r="D109" s="42" t="str">
        <f>Input!$B$9</f>
        <v>LW903</v>
      </c>
      <c r="E109" s="42">
        <f>Input!$B$10</f>
        <v>1422</v>
      </c>
      <c r="F109" s="43">
        <f>Input!$B$5</f>
        <v>43900</v>
      </c>
      <c r="G109" s="34" t="s">
        <v>0</v>
      </c>
      <c r="H109" s="34" t="s">
        <v>587</v>
      </c>
      <c r="I109" s="34">
        <v>105</v>
      </c>
      <c r="J109" s="41">
        <f>IF(Input!$B$12="2D","",INDEX(Input!$I$21:$I$146,MATCH(Table4[[#This Row],[MARK ID]],Input!$H$21:$H$146,0)))</f>
        <v>288414.848</v>
      </c>
      <c r="K109" s="41">
        <f>IF(Input!$B$12="2D","",INDEX(Input!$J$21:$J$146,MATCH(Table4[[#This Row],[MARK ID]],Input!$H$21:$H$146,0)))</f>
        <v>6216365.8700000001</v>
      </c>
      <c r="L109" s="24">
        <f>IFERROR(IF(Table4[[#This Row],[JOB NAME]]="A9MR",INDEX(Table9[R.L.],MATCH(Table4[[#This Row],[MARK ID]],Table9[Point],0)),INDEX(Table96[R.L.],MATCH(Table4[[#This Row],[MARK ID]],Table96[Point],0))),"")</f>
        <v>150.15109555785162</v>
      </c>
      <c r="M10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23.138240641844856</v>
      </c>
      <c r="N109" s="41" t="str">
        <f>IF(Input!$B$8=0,"",Input!$B$8)</f>
        <v/>
      </c>
      <c r="O109" s="34" t="s">
        <v>58</v>
      </c>
    </row>
    <row r="110" spans="2:15" x14ac:dyDescent="0.2">
      <c r="B110" s="45" t="s">
        <v>360</v>
      </c>
      <c r="C110" s="41">
        <f>Input!$B$7</f>
        <v>25</v>
      </c>
      <c r="D110" s="42" t="str">
        <f>Input!$B$9</f>
        <v>LW903</v>
      </c>
      <c r="E110" s="42">
        <f>Input!$B$10</f>
        <v>1422</v>
      </c>
      <c r="F110" s="43">
        <f>Input!$B$5</f>
        <v>43900</v>
      </c>
      <c r="G110" s="34" t="s">
        <v>0</v>
      </c>
      <c r="H110" s="34" t="s">
        <v>597</v>
      </c>
      <c r="I110" s="34">
        <v>106</v>
      </c>
      <c r="J110" s="41" t="e">
        <f>IF(Input!$B$12="2D","",INDEX(Input!$I$21:$I$146,MATCH(Table4[[#This Row],[MARK ID]],Input!$H$21:$H$146,0)))</f>
        <v>#N/A</v>
      </c>
      <c r="K110" s="41" t="e">
        <f>IF(Input!$B$12="2D","",INDEX(Input!$J$21:$J$146,MATCH(Table4[[#This Row],[MARK ID]],Input!$H$21:$H$146,0)))</f>
        <v>#N/A</v>
      </c>
      <c r="L110" s="24">
        <f>IFERROR(IF(Table4[[#This Row],[JOB NAME]]="A9MR",INDEX(Table9[R.L.],MATCH(Table4[[#This Row],[MARK ID]],Table9[Point],0)),INDEX(Table96[R.L.],MATCH(Table4[[#This Row],[MARK ID]],Table96[Point],0))),"")</f>
        <v>149.36995374196547</v>
      </c>
      <c r="M11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23.150326066819382</v>
      </c>
      <c r="N110" s="41" t="str">
        <f>IF(Input!$B$8=0,"",Input!$B$8)</f>
        <v/>
      </c>
      <c r="O110" s="45" t="s">
        <v>886</v>
      </c>
    </row>
    <row r="111" spans="2:15" x14ac:dyDescent="0.2">
      <c r="B111" s="45" t="s">
        <v>360</v>
      </c>
      <c r="C111" s="41">
        <f>Input!$B$7</f>
        <v>25</v>
      </c>
      <c r="D111" s="42" t="str">
        <f>Input!$B$9</f>
        <v>LW903</v>
      </c>
      <c r="E111" s="42">
        <f>Input!$B$10</f>
        <v>1422</v>
      </c>
      <c r="F111" s="43">
        <f>Input!$B$5</f>
        <v>43900</v>
      </c>
      <c r="G111" s="34" t="s">
        <v>0</v>
      </c>
      <c r="H111" s="34" t="s">
        <v>600</v>
      </c>
      <c r="I111" s="34">
        <v>107</v>
      </c>
      <c r="J111" s="41" t="e">
        <f>IF(Input!$B$12="2D","",INDEX(Input!$I$21:$I$146,MATCH(Table4[[#This Row],[MARK ID]],Input!$H$21:$H$146,0)))</f>
        <v>#N/A</v>
      </c>
      <c r="K111" s="41" t="e">
        <f>IF(Input!$B$12="2D","",INDEX(Input!$J$21:$J$146,MATCH(Table4[[#This Row],[MARK ID]],Input!$H$21:$H$146,0)))</f>
        <v>#N/A</v>
      </c>
      <c r="L111" s="24">
        <f>IFERROR(IF(Table4[[#This Row],[JOB NAME]]="A9MR",INDEX(Table9[R.L.],MATCH(Table4[[#This Row],[MARK ID]],Table9[Point],0)),INDEX(Table96[R.L.],MATCH(Table4[[#This Row],[MARK ID]],Table96[Point],0))),"")</f>
        <v>148.19031192607932</v>
      </c>
      <c r="M11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18.715307137473975</v>
      </c>
      <c r="N111" s="41" t="str">
        <f>IF(Input!$B$8=0,"",Input!$B$8)</f>
        <v/>
      </c>
      <c r="O111" s="34" t="s">
        <v>886</v>
      </c>
    </row>
    <row r="112" spans="2:15" x14ac:dyDescent="0.2">
      <c r="B112" s="45" t="s">
        <v>360</v>
      </c>
      <c r="C112" s="41">
        <f>Input!$B$7</f>
        <v>25</v>
      </c>
      <c r="D112" s="42" t="str">
        <f>Input!$B$9</f>
        <v>LW903</v>
      </c>
      <c r="E112" s="42">
        <f>Input!$B$10</f>
        <v>1422</v>
      </c>
      <c r="F112" s="43">
        <f>Input!$B$5</f>
        <v>43900</v>
      </c>
      <c r="G112" s="34" t="s">
        <v>0</v>
      </c>
      <c r="H112" s="34" t="s">
        <v>603</v>
      </c>
      <c r="I112" s="34">
        <v>108</v>
      </c>
      <c r="J112" s="41" t="e">
        <f>IF(Input!$B$12="2D","",INDEX(Input!$I$21:$I$146,MATCH(Table4[[#This Row],[MARK ID]],Input!$H$21:$H$146,0)))</f>
        <v>#N/A</v>
      </c>
      <c r="K112" s="41" t="e">
        <f>IF(Input!$B$12="2D","",INDEX(Input!$J$21:$J$146,MATCH(Table4[[#This Row],[MARK ID]],Input!$H$21:$H$146,0)))</f>
        <v>#N/A</v>
      </c>
      <c r="L112" s="24">
        <f>IFERROR(IF(Table4[[#This Row],[JOB NAME]]="A9MR",INDEX(Table9[R.L.],MATCH(Table4[[#This Row],[MARK ID]],Table9[Point],0)),INDEX(Table96[R.L.],MATCH(Table4[[#This Row],[MARK ID]],Table96[Point],0))),"")</f>
        <v>147.35967011019324</v>
      </c>
      <c r="M11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18.574534933612902</v>
      </c>
      <c r="N112" s="41" t="str">
        <f>IF(Input!$B$8=0,"",Input!$B$8)</f>
        <v/>
      </c>
      <c r="O112" s="34" t="s">
        <v>886</v>
      </c>
    </row>
    <row r="113" spans="2:17" x14ac:dyDescent="0.2">
      <c r="B113" s="45" t="s">
        <v>360</v>
      </c>
      <c r="C113" s="41">
        <f>Input!$B$7</f>
        <v>25</v>
      </c>
      <c r="D113" s="42" t="str">
        <f>Input!$B$9</f>
        <v>LW903</v>
      </c>
      <c r="E113" s="42">
        <f>Input!$B$10</f>
        <v>1422</v>
      </c>
      <c r="F113" s="43">
        <f>Input!$B$5</f>
        <v>43900</v>
      </c>
      <c r="G113" s="34" t="s">
        <v>0</v>
      </c>
      <c r="H113" s="34" t="s">
        <v>606</v>
      </c>
      <c r="I113" s="34">
        <v>109</v>
      </c>
      <c r="J113" s="41" t="e">
        <f>IF(Input!$B$12="2D","",INDEX(Input!$I$21:$I$146,MATCH(Table4[[#This Row],[MARK ID]],Input!$H$21:$H$146,0)))</f>
        <v>#N/A</v>
      </c>
      <c r="K113" s="41" t="e">
        <f>IF(Input!$B$12="2D","",INDEX(Input!$J$21:$J$146,MATCH(Table4[[#This Row],[MARK ID]],Input!$H$21:$H$146,0)))</f>
        <v>#N/A</v>
      </c>
      <c r="L113" s="24">
        <f>IFERROR(IF(Table4[[#This Row],[JOB NAME]]="A9MR",INDEX(Table9[R.L.],MATCH(Table4[[#This Row],[MARK ID]],Table9[Point],0)),INDEX(Table96[R.L.],MATCH(Table4[[#This Row],[MARK ID]],Table96[Point],0))),"")</f>
        <v>146.79902829430708</v>
      </c>
      <c r="M11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21.475718241772384</v>
      </c>
      <c r="N113" s="41" t="str">
        <f>IF(Input!$B$8=0,"",Input!$B$8)</f>
        <v/>
      </c>
      <c r="O113" s="34" t="s">
        <v>886</v>
      </c>
    </row>
    <row r="114" spans="2:17" x14ac:dyDescent="0.2">
      <c r="B114" s="45" t="s">
        <v>360</v>
      </c>
      <c r="C114" s="41">
        <f>Input!$B$7</f>
        <v>25</v>
      </c>
      <c r="D114" s="42" t="str">
        <f>Input!$B$9</f>
        <v>LW903</v>
      </c>
      <c r="E114" s="42">
        <f>Input!$B$10</f>
        <v>1422</v>
      </c>
      <c r="F114" s="43">
        <f>Input!$B$5</f>
        <v>43900</v>
      </c>
      <c r="G114" s="34" t="s">
        <v>0</v>
      </c>
      <c r="H114" s="34" t="s">
        <v>609</v>
      </c>
      <c r="I114" s="34">
        <v>110</v>
      </c>
      <c r="J114" s="41" t="e">
        <f>IF(Input!$B$12="2D","",INDEX(Input!$I$21:$I$146,MATCH(Table4[[#This Row],[MARK ID]],Input!$H$21:$H$146,0)))</f>
        <v>#N/A</v>
      </c>
      <c r="K114" s="41" t="e">
        <f>IF(Input!$B$12="2D","",INDEX(Input!$J$21:$J$146,MATCH(Table4[[#This Row],[MARK ID]],Input!$H$21:$H$146,0)))</f>
        <v>#N/A</v>
      </c>
      <c r="L114" s="24">
        <f>IFERROR(IF(Table4[[#This Row],[JOB NAME]]="A9MR",INDEX(Table9[R.L.],MATCH(Table4[[#This Row],[MARK ID]],Table9[Point],0)),INDEX(Table96[R.L.],MATCH(Table4[[#This Row],[MARK ID]],Table96[Point],0))),"")</f>
        <v>145.88638647842095</v>
      </c>
      <c r="M11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18.533153779106179</v>
      </c>
      <c r="N114" s="41" t="str">
        <f>IF(Input!$B$8=0,"",Input!$B$8)</f>
        <v/>
      </c>
      <c r="O114" s="34" t="s">
        <v>886</v>
      </c>
    </row>
    <row r="115" spans="2:17" x14ac:dyDescent="0.2">
      <c r="B115" s="45" t="s">
        <v>360</v>
      </c>
      <c r="C115" s="41">
        <f>Input!$B$7</f>
        <v>25</v>
      </c>
      <c r="D115" s="42" t="str">
        <f>Input!$B$9</f>
        <v>LW903</v>
      </c>
      <c r="E115" s="42">
        <f>Input!$B$10</f>
        <v>1422</v>
      </c>
      <c r="F115" s="43">
        <f>Input!$B$5</f>
        <v>43900</v>
      </c>
      <c r="G115" s="34" t="s">
        <v>0</v>
      </c>
      <c r="H115" s="34" t="s">
        <v>612</v>
      </c>
      <c r="I115" s="34">
        <v>111</v>
      </c>
      <c r="J115" s="41" t="e">
        <f>IF(Input!$B$12="2D","",INDEX(Input!$I$21:$I$146,MATCH(Table4[[#This Row],[MARK ID]],Input!$H$21:$H$146,0)))</f>
        <v>#N/A</v>
      </c>
      <c r="K115" s="41" t="e">
        <f>IF(Input!$B$12="2D","",INDEX(Input!$J$21:$J$146,MATCH(Table4[[#This Row],[MARK ID]],Input!$H$21:$H$146,0)))</f>
        <v>#N/A</v>
      </c>
      <c r="L115" s="24">
        <f>IFERROR(IF(Table4[[#This Row],[JOB NAME]]="A9MR",INDEX(Table9[R.L.],MATCH(Table4[[#This Row],[MARK ID]],Table9[Point],0)),INDEX(Table96[R.L.],MATCH(Table4[[#This Row],[MARK ID]],Table96[Point],0))),"")</f>
        <v>145.03774639864591</v>
      </c>
      <c r="M11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18.15832391081257</v>
      </c>
      <c r="N115" s="41" t="str">
        <f>IF(Input!$B$8=0,"",Input!$B$8)</f>
        <v/>
      </c>
      <c r="O115" s="34" t="s">
        <v>886</v>
      </c>
    </row>
    <row r="116" spans="2:17" x14ac:dyDescent="0.2">
      <c r="B116" s="45" t="s">
        <v>360</v>
      </c>
      <c r="C116" s="41">
        <f>Input!$B$7</f>
        <v>25</v>
      </c>
      <c r="D116" s="42" t="str">
        <f>Input!$B$9</f>
        <v>LW903</v>
      </c>
      <c r="E116" s="42">
        <f>Input!$B$10</f>
        <v>1422</v>
      </c>
      <c r="F116" s="43">
        <f>Input!$B$5</f>
        <v>43900</v>
      </c>
      <c r="G116" s="34" t="s">
        <v>0</v>
      </c>
      <c r="H116" s="34" t="s">
        <v>615</v>
      </c>
      <c r="I116" s="34">
        <v>112</v>
      </c>
      <c r="J116" s="41" t="e">
        <f>IF(Input!$B$12="2D","",INDEX(Input!$I$21:$I$146,MATCH(Table4[[#This Row],[MARK ID]],Input!$H$21:$H$146,0)))</f>
        <v>#N/A</v>
      </c>
      <c r="K116" s="41" t="e">
        <f>IF(Input!$B$12="2D","",INDEX(Input!$J$21:$J$146,MATCH(Table4[[#This Row],[MARK ID]],Input!$H$21:$H$146,0)))</f>
        <v>#N/A</v>
      </c>
      <c r="L116" s="24">
        <f>IFERROR(IF(Table4[[#This Row],[JOB NAME]]="A9MR",INDEX(Table9[R.L.],MATCH(Table4[[#This Row],[MARK ID]],Table9[Point],0)),INDEX(Table96[R.L.],MATCH(Table4[[#This Row],[MARK ID]],Table96[Point],0))),"")</f>
        <v>144.32810284664868</v>
      </c>
      <c r="M11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21.199830807107734</v>
      </c>
      <c r="N116" s="41" t="str">
        <f>IF(Input!$B$8=0,"",Input!$B$8)</f>
        <v/>
      </c>
      <c r="O116" s="34" t="s">
        <v>886</v>
      </c>
    </row>
    <row r="117" spans="2:17" x14ac:dyDescent="0.2">
      <c r="B117" s="45" t="s">
        <v>360</v>
      </c>
      <c r="C117" s="41">
        <f>Input!$B$7</f>
        <v>25</v>
      </c>
      <c r="D117" s="42" t="str">
        <f>Input!$B$9</f>
        <v>LW903</v>
      </c>
      <c r="E117" s="42">
        <f>Input!$B$10</f>
        <v>1422</v>
      </c>
      <c r="F117" s="43">
        <f>Input!$B$5</f>
        <v>43900</v>
      </c>
      <c r="G117" s="34" t="s">
        <v>0</v>
      </c>
      <c r="H117" s="34" t="s">
        <v>618</v>
      </c>
      <c r="I117" s="34">
        <v>113</v>
      </c>
      <c r="J117" s="41" t="e">
        <f>IF(Input!$B$12="2D","",INDEX(Input!$I$21:$I$146,MATCH(Table4[[#This Row],[MARK ID]],Input!$H$21:$H$146,0)))</f>
        <v>#N/A</v>
      </c>
      <c r="K117" s="41" t="e">
        <f>IF(Input!$B$12="2D","",INDEX(Input!$J$21:$J$146,MATCH(Table4[[#This Row],[MARK ID]],Input!$H$21:$H$146,0)))</f>
        <v>#N/A</v>
      </c>
      <c r="L117" s="24">
        <f>IFERROR(IF(Table4[[#This Row],[JOB NAME]]="A9MR",INDEX(Table9[R.L.],MATCH(Table4[[#This Row],[MARK ID]],Table9[Point],0)),INDEX(Table96[R.L.],MATCH(Table4[[#This Row],[MARK ID]],Table96[Point],0))),"")</f>
        <v>143.73996103076254</v>
      </c>
      <c r="M11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17.904476039526816</v>
      </c>
      <c r="N117" s="41" t="str">
        <f>IF(Input!$B$8=0,"",Input!$B$8)</f>
        <v/>
      </c>
      <c r="O117" s="34" t="s">
        <v>886</v>
      </c>
    </row>
    <row r="118" spans="2:17" x14ac:dyDescent="0.2">
      <c r="B118" s="45" t="s">
        <v>360</v>
      </c>
      <c r="C118" s="41">
        <f>Input!$B$7</f>
        <v>25</v>
      </c>
      <c r="D118" s="42" t="str">
        <f>Input!$B$9</f>
        <v>LW903</v>
      </c>
      <c r="E118" s="42">
        <f>Input!$B$10</f>
        <v>1422</v>
      </c>
      <c r="F118" s="43">
        <f>Input!$B$5</f>
        <v>43900</v>
      </c>
      <c r="G118" s="34" t="s">
        <v>0</v>
      </c>
      <c r="H118" s="34" t="s">
        <v>621</v>
      </c>
      <c r="I118" s="34">
        <v>114</v>
      </c>
      <c r="J118" s="41" t="e">
        <f>IF(Input!$B$12="2D","",INDEX(Input!$I$21:$I$146,MATCH(Table4[[#This Row],[MARK ID]],Input!$H$21:$H$146,0)))</f>
        <v>#N/A</v>
      </c>
      <c r="K118" s="41" t="e">
        <f>IF(Input!$B$12="2D","",INDEX(Input!$J$21:$J$146,MATCH(Table4[[#This Row],[MARK ID]],Input!$H$21:$H$146,0)))</f>
        <v>#N/A</v>
      </c>
      <c r="L118" s="24">
        <f>IFERROR(IF(Table4[[#This Row],[JOB NAME]]="A9MR",INDEX(Table9[R.L.],MATCH(Table4[[#This Row],[MARK ID]],Table9[Point],0)),INDEX(Table96[R.L.],MATCH(Table4[[#This Row],[MARK ID]],Table96[Point],0))),"")</f>
        <v>143.25231921487642</v>
      </c>
      <c r="M11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21.586810984951136</v>
      </c>
      <c r="N118" s="41" t="str">
        <f>IF(Input!$B$8=0,"",Input!$B$8)</f>
        <v/>
      </c>
      <c r="O118" s="34" t="s">
        <v>886</v>
      </c>
    </row>
    <row r="119" spans="2:17" x14ac:dyDescent="0.2">
      <c r="B119" s="45" t="s">
        <v>360</v>
      </c>
      <c r="C119" s="41">
        <f>Input!$B$7</f>
        <v>25</v>
      </c>
      <c r="D119" s="42" t="str">
        <f>Input!$B$9</f>
        <v>LW903</v>
      </c>
      <c r="E119" s="42">
        <f>Input!$B$10</f>
        <v>1422</v>
      </c>
      <c r="F119" s="43">
        <f>Input!$B$5</f>
        <v>43900</v>
      </c>
      <c r="G119" s="34" t="s">
        <v>0</v>
      </c>
      <c r="H119" s="34" t="s">
        <v>631</v>
      </c>
      <c r="I119" s="34">
        <v>115</v>
      </c>
      <c r="J119" s="41" t="e">
        <f>IF(Input!$B$12="2D","",INDEX(Input!$I$21:$I$146,MATCH(Table4[[#This Row],[MARK ID]],Input!$H$21:$H$146,0)))</f>
        <v>#N/A</v>
      </c>
      <c r="K119" s="41" t="e">
        <f>IF(Input!$B$12="2D","",INDEX(Input!$J$21:$J$146,MATCH(Table4[[#This Row],[MARK ID]],Input!$H$21:$H$146,0)))</f>
        <v>#N/A</v>
      </c>
      <c r="L119" s="24">
        <f>IFERROR(IF(Table4[[#This Row],[JOB NAME]]="A9MR",INDEX(Table9[R.L.],MATCH(Table4[[#This Row],[MARK ID]],Table9[Point],0)),INDEX(Table96[R.L.],MATCH(Table4[[#This Row],[MARK ID]],Table96[Point],0))),"")</f>
        <v>142.5961915805789</v>
      </c>
      <c r="M11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19.165991651882639</v>
      </c>
      <c r="N119" s="41" t="str">
        <f>IF(Input!$B$8=0,"",Input!$B$8)</f>
        <v/>
      </c>
      <c r="O119" s="34" t="s">
        <v>886</v>
      </c>
    </row>
    <row r="120" spans="2:17" x14ac:dyDescent="0.2">
      <c r="B120" s="45" t="s">
        <v>360</v>
      </c>
      <c r="C120" s="41">
        <f>Input!$B$7</f>
        <v>25</v>
      </c>
      <c r="D120" s="42" t="str">
        <f>Input!$B$9</f>
        <v>LW903</v>
      </c>
      <c r="E120" s="42">
        <f>Input!$B$10</f>
        <v>1422</v>
      </c>
      <c r="F120" s="43">
        <f>Input!$B$5</f>
        <v>43900</v>
      </c>
      <c r="G120" s="34" t="s">
        <v>0</v>
      </c>
      <c r="H120" s="34" t="s">
        <v>634</v>
      </c>
      <c r="I120" s="34">
        <v>116</v>
      </c>
      <c r="J120" s="41" t="e">
        <f>IF(Input!$B$12="2D","",INDEX(Input!$I$21:$I$146,MATCH(Table4[[#This Row],[MARK ID]],Input!$H$21:$H$146,0)))</f>
        <v>#N/A</v>
      </c>
      <c r="K120" s="41" t="e">
        <f>IF(Input!$B$12="2D","",INDEX(Input!$J$21:$J$146,MATCH(Table4[[#This Row],[MARK ID]],Input!$H$21:$H$146,0)))</f>
        <v>#N/A</v>
      </c>
      <c r="L120" s="24">
        <f>IFERROR(IF(Table4[[#This Row],[JOB NAME]]="A9MR",INDEX(Table9[R.L.],MATCH(Table4[[#This Row],[MARK ID]],Table9[Point],0)),INDEX(Table96[R.L.],MATCH(Table4[[#This Row],[MARK ID]],Table96[Point],0))),"")</f>
        <v>141.91456394628136</v>
      </c>
      <c r="M12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21.729180955571511</v>
      </c>
      <c r="N120" s="41" t="str">
        <f>IF(Input!$B$8=0,"",Input!$B$8)</f>
        <v/>
      </c>
      <c r="O120" s="34" t="s">
        <v>886</v>
      </c>
    </row>
    <row r="121" spans="2:17" x14ac:dyDescent="0.2">
      <c r="B121" s="45" t="s">
        <v>360</v>
      </c>
      <c r="C121" s="41">
        <f>Input!$B$7</f>
        <v>25</v>
      </c>
      <c r="D121" s="42" t="str">
        <f>Input!$B$9</f>
        <v>LW903</v>
      </c>
      <c r="E121" s="42">
        <f>Input!$B$10</f>
        <v>1422</v>
      </c>
      <c r="F121" s="43">
        <f>Input!$B$5</f>
        <v>43900</v>
      </c>
      <c r="G121" s="34" t="s">
        <v>0</v>
      </c>
      <c r="H121" s="34" t="s">
        <v>637</v>
      </c>
      <c r="I121" s="34">
        <v>117</v>
      </c>
      <c r="J121" s="41" t="e">
        <f>IF(Input!$B$12="2D","",INDEX(Input!$I$21:$I$146,MATCH(Table4[[#This Row],[MARK ID]],Input!$H$21:$H$146,0)))</f>
        <v>#N/A</v>
      </c>
      <c r="K121" s="41" t="e">
        <f>IF(Input!$B$12="2D","",INDEX(Input!$J$21:$J$146,MATCH(Table4[[#This Row],[MARK ID]],Input!$H$21:$H$146,0)))</f>
        <v>#N/A</v>
      </c>
      <c r="L121" s="24">
        <f>IFERROR(IF(Table4[[#This Row],[JOB NAME]]="A9MR",INDEX(Table9[R.L.],MATCH(Table4[[#This Row],[MARK ID]],Table9[Point],0)),INDEX(Table96[R.L.],MATCH(Table4[[#This Row],[MARK ID]],Table96[Point],0))),"")</f>
        <v>141.22293631198389</v>
      </c>
      <c r="M12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17.49616367235895</v>
      </c>
      <c r="N121" s="41" t="str">
        <f>IF(Input!$B$8=0,"",Input!$B$8)</f>
        <v/>
      </c>
      <c r="O121" s="34" t="s">
        <v>886</v>
      </c>
    </row>
    <row r="122" spans="2:17" x14ac:dyDescent="0.2">
      <c r="B122" s="45" t="s">
        <v>360</v>
      </c>
      <c r="C122" s="41">
        <f>Input!$B$7</f>
        <v>25</v>
      </c>
      <c r="D122" s="42" t="str">
        <f>Input!$B$9</f>
        <v>LW903</v>
      </c>
      <c r="E122" s="42">
        <f>Input!$B$10</f>
        <v>1422</v>
      </c>
      <c r="F122" s="43">
        <f>Input!$B$5</f>
        <v>43900</v>
      </c>
      <c r="G122" s="34" t="s">
        <v>0</v>
      </c>
      <c r="H122" s="34" t="s">
        <v>640</v>
      </c>
      <c r="I122" s="34">
        <v>118</v>
      </c>
      <c r="J122" s="41" t="e">
        <f>IF(Input!$B$12="2D","",INDEX(Input!$I$21:$I$146,MATCH(Table4[[#This Row],[MARK ID]],Input!$H$21:$H$146,0)))</f>
        <v>#N/A</v>
      </c>
      <c r="K122" s="41" t="e">
        <f>IF(Input!$B$12="2D","",INDEX(Input!$J$21:$J$146,MATCH(Table4[[#This Row],[MARK ID]],Input!$H$21:$H$146,0)))</f>
        <v>#N/A</v>
      </c>
      <c r="L122" s="24">
        <f>IFERROR(IF(Table4[[#This Row],[JOB NAME]]="A9MR",INDEX(Table9[R.L.],MATCH(Table4[[#This Row],[MARK ID]],Table9[Point],0)),INDEX(Table96[R.L.],MATCH(Table4[[#This Row],[MARK ID]],Table96[Point],0))),"")</f>
        <v>140.81080867768634</v>
      </c>
      <c r="M12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20.933333728769902</v>
      </c>
      <c r="N122" s="41" t="str">
        <f>IF(Input!$B$8=0,"",Input!$B$8)</f>
        <v/>
      </c>
      <c r="O122" s="34" t="s">
        <v>886</v>
      </c>
    </row>
    <row r="123" spans="2:17" x14ac:dyDescent="0.2">
      <c r="B123" s="45" t="s">
        <v>360</v>
      </c>
      <c r="C123" s="41">
        <f>Input!$B$7</f>
        <v>25</v>
      </c>
      <c r="D123" s="42" t="str">
        <f>Input!$B$9</f>
        <v>LW903</v>
      </c>
      <c r="E123" s="42">
        <f>Input!$B$10</f>
        <v>1422</v>
      </c>
      <c r="F123" s="43">
        <f>Input!$B$5</f>
        <v>43900</v>
      </c>
      <c r="G123" s="34" t="s">
        <v>0</v>
      </c>
      <c r="H123" s="34" t="s">
        <v>643</v>
      </c>
      <c r="I123" s="34">
        <v>119</v>
      </c>
      <c r="J123" s="41" t="e">
        <f>IF(Input!$B$12="2D","",INDEX(Input!$I$21:$I$146,MATCH(Table4[[#This Row],[MARK ID]],Input!$H$21:$H$146,0)))</f>
        <v>#N/A</v>
      </c>
      <c r="K123" s="41" t="e">
        <f>IF(Input!$B$12="2D","",INDEX(Input!$J$21:$J$146,MATCH(Table4[[#This Row],[MARK ID]],Input!$H$21:$H$146,0)))</f>
        <v>#N/A</v>
      </c>
      <c r="L123" s="24">
        <f>IFERROR(IF(Table4[[#This Row],[JOB NAME]]="A9MR",INDEX(Table9[R.L.],MATCH(Table4[[#This Row],[MARK ID]],Table9[Point],0)),INDEX(Table96[R.L.],MATCH(Table4[[#This Row],[MARK ID]],Table96[Point],0))),"")</f>
        <v>140.32368104338883</v>
      </c>
      <c r="M12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20.477958351603757</v>
      </c>
      <c r="N123" s="41" t="str">
        <f>IF(Input!$B$8=0,"",Input!$B$8)</f>
        <v/>
      </c>
      <c r="O123" s="34" t="s">
        <v>886</v>
      </c>
    </row>
    <row r="124" spans="2:17" x14ac:dyDescent="0.2">
      <c r="B124" s="45" t="s">
        <v>360</v>
      </c>
      <c r="C124" s="41">
        <f>Input!$B$7</f>
        <v>25</v>
      </c>
      <c r="D124" s="42" t="str">
        <f>Input!$B$9</f>
        <v>LW903</v>
      </c>
      <c r="E124" s="42">
        <f>Input!$B$10</f>
        <v>1422</v>
      </c>
      <c r="F124" s="43">
        <f>Input!$B$5</f>
        <v>43900</v>
      </c>
      <c r="G124" s="34" t="s">
        <v>0</v>
      </c>
      <c r="H124" s="34" t="s">
        <v>646</v>
      </c>
      <c r="I124" s="34">
        <v>120</v>
      </c>
      <c r="J124" s="41" t="e">
        <f>IF(Input!$B$12="2D","",INDEX(Input!$I$21:$I$146,MATCH(Table4[[#This Row],[MARK ID]],Input!$H$21:$H$146,0)))</f>
        <v>#N/A</v>
      </c>
      <c r="K124" s="41" t="e">
        <f>IF(Input!$B$12="2D","",INDEX(Input!$J$21:$J$146,MATCH(Table4[[#This Row],[MARK ID]],Input!$H$21:$H$146,0)))</f>
        <v>#N/A</v>
      </c>
      <c r="L124" s="24">
        <f>IFERROR(IF(Table4[[#This Row],[JOB NAME]]="A9MR",INDEX(Table9[R.L.],MATCH(Table4[[#This Row],[MARK ID]],Table9[Point],0)),INDEX(Table96[R.L.],MATCH(Table4[[#This Row],[MARK ID]],Table96[Point],0))),"")</f>
        <v>140.02305340909132</v>
      </c>
      <c r="M12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20.414319545356516</v>
      </c>
      <c r="N124" s="41" t="str">
        <f>IF(Input!$B$8=0,"",Input!$B$8)</f>
        <v/>
      </c>
      <c r="O124" s="34" t="s">
        <v>886</v>
      </c>
    </row>
    <row r="125" spans="2:17" x14ac:dyDescent="0.2">
      <c r="B125" s="45" t="s">
        <v>360</v>
      </c>
      <c r="C125" s="41">
        <f>Input!$B$7</f>
        <v>25</v>
      </c>
      <c r="D125" s="42" t="str">
        <f>Input!$B$9</f>
        <v>LW903</v>
      </c>
      <c r="E125" s="42">
        <f>Input!$B$10</f>
        <v>1422</v>
      </c>
      <c r="F125" s="43">
        <f>Input!$B$5</f>
        <v>43900</v>
      </c>
      <c r="G125" s="34" t="s">
        <v>0</v>
      </c>
      <c r="H125" s="34" t="s">
        <v>649</v>
      </c>
      <c r="I125" s="34">
        <v>121</v>
      </c>
      <c r="J125" s="41" t="e">
        <f>IF(Input!$B$12="2D","",INDEX(Input!$I$21:$I$146,MATCH(Table4[[#This Row],[MARK ID]],Input!$H$21:$H$146,0)))</f>
        <v>#N/A</v>
      </c>
      <c r="K125" s="41" t="e">
        <f>IF(Input!$B$12="2D","",INDEX(Input!$J$21:$J$146,MATCH(Table4[[#This Row],[MARK ID]],Input!$H$21:$H$146,0)))</f>
        <v>#N/A</v>
      </c>
      <c r="L125" s="24">
        <f>IFERROR(IF(Table4[[#This Row],[JOB NAME]]="A9MR",INDEX(Table9[R.L.],MATCH(Table4[[#This Row],[MARK ID]],Table9[Point],0)),INDEX(Table96[R.L.],MATCH(Table4[[#This Row],[MARK ID]],Table96[Point],0))),"")</f>
        <v>139.86942577479377</v>
      </c>
      <c r="M12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20.281552171864018</v>
      </c>
      <c r="N125" s="41" t="str">
        <f>IF(Input!$B$8=0,"",Input!$B$8)</f>
        <v/>
      </c>
      <c r="O125" s="34" t="s">
        <v>886</v>
      </c>
    </row>
    <row r="126" spans="2:17" x14ac:dyDescent="0.2">
      <c r="B126" s="45" t="s">
        <v>360</v>
      </c>
      <c r="C126" s="41">
        <f>Input!$B$7</f>
        <v>25</v>
      </c>
      <c r="D126" s="42" t="str">
        <f>Input!$B$9</f>
        <v>LW903</v>
      </c>
      <c r="E126" s="42">
        <f>Input!$B$10</f>
        <v>1422</v>
      </c>
      <c r="F126" s="43">
        <f>Input!$B$5</f>
        <v>43900</v>
      </c>
      <c r="G126" s="34" t="s">
        <v>0</v>
      </c>
      <c r="H126" s="34" t="s">
        <v>652</v>
      </c>
      <c r="I126" s="34">
        <v>122</v>
      </c>
      <c r="J126" s="41" t="e">
        <f>IF(Input!$B$12="2D","",INDEX(Input!$I$21:$I$146,MATCH(Table4[[#This Row],[MARK ID]],Input!$H$21:$H$146,0)))</f>
        <v>#N/A</v>
      </c>
      <c r="K126" s="41" t="e">
        <f>IF(Input!$B$12="2D","",INDEX(Input!$J$21:$J$146,MATCH(Table4[[#This Row],[MARK ID]],Input!$H$21:$H$146,0)))</f>
        <v>#N/A</v>
      </c>
      <c r="L126" s="24">
        <f>IFERROR(IF(Table4[[#This Row],[JOB NAME]]="A9MR",INDEX(Table9[R.L.],MATCH(Table4[[#This Row],[MARK ID]],Table9[Point],0)),INDEX(Table96[R.L.],MATCH(Table4[[#This Row],[MARK ID]],Table96[Point],0))),"")</f>
        <v>139.83879814049629</v>
      </c>
      <c r="M12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20.476226068297045</v>
      </c>
      <c r="N126" s="41" t="str">
        <f>IF(Input!$B$8=0,"",Input!$B$8)</f>
        <v/>
      </c>
      <c r="O126" s="34" t="s">
        <v>886</v>
      </c>
      <c r="Q126" s="56"/>
    </row>
    <row r="127" spans="2:17" x14ac:dyDescent="0.2">
      <c r="B127" s="45" t="s">
        <v>360</v>
      </c>
      <c r="C127" s="41">
        <f>Input!$B$7</f>
        <v>25</v>
      </c>
      <c r="D127" s="42" t="str">
        <f>Input!$B$9</f>
        <v>LW903</v>
      </c>
      <c r="E127" s="42">
        <f>Input!$B$10</f>
        <v>1422</v>
      </c>
      <c r="F127" s="43">
        <f>Input!$B$5</f>
        <v>43900</v>
      </c>
      <c r="G127" s="34" t="s">
        <v>0</v>
      </c>
      <c r="H127" s="34" t="s">
        <v>655</v>
      </c>
      <c r="I127" s="34">
        <v>123</v>
      </c>
      <c r="J127" s="41" t="e">
        <f>IF(Input!$B$12="2D","",INDEX(Input!$I$21:$I$146,MATCH(Table4[[#This Row],[MARK ID]],Input!$H$21:$H$146,0)))</f>
        <v>#N/A</v>
      </c>
      <c r="K127" s="41" t="e">
        <f>IF(Input!$B$12="2D","",INDEX(Input!$J$21:$J$146,MATCH(Table4[[#This Row],[MARK ID]],Input!$H$21:$H$146,0)))</f>
        <v>#N/A</v>
      </c>
      <c r="L127" s="24">
        <f>IFERROR(IF(Table4[[#This Row],[JOB NAME]]="A9MR",INDEX(Table9[R.L.],MATCH(Table4[[#This Row],[MARK ID]],Table9[Point],0)),INDEX(Table96[R.L.],MATCH(Table4[[#This Row],[MARK ID]],Table96[Point],0))),"")</f>
        <v>139.21867050619875</v>
      </c>
      <c r="M12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31.221405173374354</v>
      </c>
      <c r="N127" s="41" t="str">
        <f>IF(Input!$B$8=0,"",Input!$B$8)</f>
        <v/>
      </c>
      <c r="O127" s="34" t="s">
        <v>886</v>
      </c>
      <c r="Q127" s="56"/>
    </row>
    <row r="128" spans="2:17" x14ac:dyDescent="0.2">
      <c r="B128" s="45" t="s">
        <v>360</v>
      </c>
      <c r="C128" s="41">
        <f>Input!$B$7</f>
        <v>25</v>
      </c>
      <c r="D128" s="42" t="str">
        <f>Input!$B$9</f>
        <v>LW903</v>
      </c>
      <c r="E128" s="42">
        <f>Input!$B$10</f>
        <v>1422</v>
      </c>
      <c r="F128" s="43">
        <f>Input!$B$5</f>
        <v>43900</v>
      </c>
      <c r="G128" s="34" t="s">
        <v>0</v>
      </c>
      <c r="H128" s="34" t="s">
        <v>658</v>
      </c>
      <c r="I128" s="34">
        <v>124</v>
      </c>
      <c r="J128" s="41" t="e">
        <f>IF(Input!$B$12="2D","",INDEX(Input!$I$21:$I$146,MATCH(Table4[[#This Row],[MARK ID]],Input!$H$21:$H$146,0)))</f>
        <v>#N/A</v>
      </c>
      <c r="K128" s="41" t="e">
        <f>IF(Input!$B$12="2D","",INDEX(Input!$J$21:$J$146,MATCH(Table4[[#This Row],[MARK ID]],Input!$H$21:$H$146,0)))</f>
        <v>#N/A</v>
      </c>
      <c r="L128" s="24">
        <f>IFERROR(IF(Table4[[#This Row],[JOB NAME]]="A9MR",INDEX(Table9[R.L.],MATCH(Table4[[#This Row],[MARK ID]],Table9[Point],0)),INDEX(Table96[R.L.],MATCH(Table4[[#This Row],[MARK ID]],Table96[Point],0))),"")</f>
        <v>139.25304287190121</v>
      </c>
      <c r="M12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18.913448898864917</v>
      </c>
      <c r="N128" s="41" t="str">
        <f>IF(Input!$B$8=0,"",Input!$B$8)</f>
        <v/>
      </c>
      <c r="O128" s="34" t="s">
        <v>886</v>
      </c>
      <c r="Q128" s="56"/>
    </row>
    <row r="129" spans="2:15" x14ac:dyDescent="0.2">
      <c r="B129" s="45" t="s">
        <v>360</v>
      </c>
      <c r="C129" s="41">
        <f>Input!$B$7</f>
        <v>25</v>
      </c>
      <c r="D129" s="42" t="str">
        <f>Input!$B$9</f>
        <v>LW903</v>
      </c>
      <c r="E129" s="42">
        <f>Input!$B$10</f>
        <v>1422</v>
      </c>
      <c r="F129" s="43">
        <f>Input!$B$5</f>
        <v>43900</v>
      </c>
      <c r="G129" s="34" t="s">
        <v>0</v>
      </c>
      <c r="H129" s="34" t="s">
        <v>668</v>
      </c>
      <c r="I129" s="34">
        <v>125</v>
      </c>
      <c r="J129" s="41" t="e">
        <f>IF(Input!$B$12="2D","",INDEX(Input!$I$21:$I$146,MATCH(Table4[[#This Row],[MARK ID]],Input!$H$21:$H$146,0)))</f>
        <v>#N/A</v>
      </c>
      <c r="K129" s="41" t="e">
        <f>IF(Input!$B$12="2D","",INDEX(Input!$J$21:$J$146,MATCH(Table4[[#This Row],[MARK ID]],Input!$H$21:$H$146,0)))</f>
        <v>#N/A</v>
      </c>
      <c r="L129" s="24">
        <f>IFERROR(IF(Table4[[#This Row],[JOB NAME]]="A9MR",INDEX(Table9[R.L.],MATCH(Table4[[#This Row],[MARK ID]],Table9[Point],0)),INDEX(Table96[R.L.],MATCH(Table4[[#This Row],[MARK ID]],Table96[Point],0))),"")</f>
        <v>138.97940105601509</v>
      </c>
      <c r="M12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22.080450221860485</v>
      </c>
      <c r="N129" s="41" t="str">
        <f>IF(Input!$B$8=0,"",Input!$B$8)</f>
        <v/>
      </c>
      <c r="O129" s="34" t="s">
        <v>886</v>
      </c>
    </row>
    <row r="130" spans="2:15" x14ac:dyDescent="0.2">
      <c r="B130" s="45" t="s">
        <v>360</v>
      </c>
      <c r="C130" s="41">
        <f>Input!$B$7</f>
        <v>25</v>
      </c>
      <c r="D130" s="42" t="str">
        <f>Input!$B$9</f>
        <v>LW903</v>
      </c>
      <c r="E130" s="42">
        <f>Input!$B$10</f>
        <v>1422</v>
      </c>
      <c r="F130" s="43">
        <f>Input!$B$5</f>
        <v>43900</v>
      </c>
      <c r="G130" s="34" t="s">
        <v>0</v>
      </c>
      <c r="H130" s="34" t="s">
        <v>671</v>
      </c>
      <c r="I130" s="34">
        <v>126</v>
      </c>
      <c r="J130" s="41" t="e">
        <f>IF(Input!$B$12="2D","",INDEX(Input!$I$21:$I$146,MATCH(Table4[[#This Row],[MARK ID]],Input!$H$21:$H$146,0)))</f>
        <v>#N/A</v>
      </c>
      <c r="K130" s="41" t="e">
        <f>IF(Input!$B$12="2D","",INDEX(Input!$J$21:$J$146,MATCH(Table4[[#This Row],[MARK ID]],Input!$H$21:$H$146,0)))</f>
        <v>#N/A</v>
      </c>
      <c r="L130" s="24">
        <f>IFERROR(IF(Table4[[#This Row],[JOB NAME]]="A9MR",INDEX(Table9[R.L.],MATCH(Table4[[#This Row],[MARK ID]],Table9[Point],0)),INDEX(Table96[R.L.],MATCH(Table4[[#This Row],[MARK ID]],Table96[Point],0))),"")</f>
        <v>137.62375924012892</v>
      </c>
      <c r="M13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18.942264978084946</v>
      </c>
      <c r="N130" s="41" t="str">
        <f>IF(Input!$B$8=0,"",Input!$B$8)</f>
        <v/>
      </c>
      <c r="O130" s="34" t="s">
        <v>886</v>
      </c>
    </row>
    <row r="131" spans="2:15" x14ac:dyDescent="0.2">
      <c r="B131" s="45" t="s">
        <v>360</v>
      </c>
      <c r="C131" s="41">
        <f>Input!$B$7</f>
        <v>25</v>
      </c>
      <c r="D131" s="42" t="str">
        <f>Input!$B$9</f>
        <v>LW903</v>
      </c>
      <c r="E131" s="42">
        <f>Input!$B$10</f>
        <v>1422</v>
      </c>
      <c r="F131" s="43">
        <f>Input!$B$5</f>
        <v>43900</v>
      </c>
      <c r="G131" s="34" t="s">
        <v>0</v>
      </c>
      <c r="H131" s="34" t="s">
        <v>674</v>
      </c>
      <c r="I131" s="34">
        <v>127</v>
      </c>
      <c r="J131" s="41" t="e">
        <f>IF(Input!$B$12="2D","",INDEX(Input!$I$21:$I$146,MATCH(Table4[[#This Row],[MARK ID]],Input!$H$21:$H$146,0)))</f>
        <v>#N/A</v>
      </c>
      <c r="K131" s="41" t="e">
        <f>IF(Input!$B$12="2D","",INDEX(Input!$J$21:$J$146,MATCH(Table4[[#This Row],[MARK ID]],Input!$H$21:$H$146,0)))</f>
        <v>#N/A</v>
      </c>
      <c r="L131" s="24">
        <f>IFERROR(IF(Table4[[#This Row],[JOB NAME]]="A9MR",INDEX(Table9[R.L.],MATCH(Table4[[#This Row],[MARK ID]],Table9[Point],0)),INDEX(Table96[R.L.],MATCH(Table4[[#This Row],[MARK ID]],Table96[Point],0))),"")</f>
        <v>137.18211742424279</v>
      </c>
      <c r="M13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20.031275652089185</v>
      </c>
      <c r="N131" s="41" t="str">
        <f>IF(Input!$B$8=0,"",Input!$B$8)</f>
        <v/>
      </c>
      <c r="O131" s="34" t="s">
        <v>886</v>
      </c>
    </row>
    <row r="132" spans="2:15" x14ac:dyDescent="0.2">
      <c r="B132" s="45" t="s">
        <v>360</v>
      </c>
      <c r="C132" s="41">
        <f>Input!$B$7</f>
        <v>25</v>
      </c>
      <c r="D132" s="42" t="str">
        <f>Input!$B$9</f>
        <v>LW903</v>
      </c>
      <c r="E132" s="42">
        <f>Input!$B$10</f>
        <v>1422</v>
      </c>
      <c r="F132" s="43">
        <f>Input!$B$5</f>
        <v>43900</v>
      </c>
      <c r="G132" s="34" t="s">
        <v>0</v>
      </c>
      <c r="H132" s="34" t="s">
        <v>677</v>
      </c>
      <c r="I132" s="34">
        <v>128</v>
      </c>
      <c r="J132" s="41" t="e">
        <f>IF(Input!$B$12="2D","",INDEX(Input!$I$21:$I$146,MATCH(Table4[[#This Row],[MARK ID]],Input!$H$21:$H$146,0)))</f>
        <v>#N/A</v>
      </c>
      <c r="K132" s="41" t="e">
        <f>IF(Input!$B$12="2D","",INDEX(Input!$J$21:$J$146,MATCH(Table4[[#This Row],[MARK ID]],Input!$H$21:$H$146,0)))</f>
        <v>#N/A</v>
      </c>
      <c r="L132" s="24">
        <f>IFERROR(IF(Table4[[#This Row],[JOB NAME]]="A9MR",INDEX(Table9[R.L.],MATCH(Table4[[#This Row],[MARK ID]],Table9[Point],0)),INDEX(Table96[R.L.],MATCH(Table4[[#This Row],[MARK ID]],Table96[Point],0))),"")</f>
        <v>136.92297560835669</v>
      </c>
      <c r="M13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24.520138381542907</v>
      </c>
      <c r="N132" s="41" t="str">
        <f>IF(Input!$B$8=0,"",Input!$B$8)</f>
        <v/>
      </c>
      <c r="O132" s="34" t="s">
        <v>886</v>
      </c>
    </row>
    <row r="133" spans="2:15" x14ac:dyDescent="0.2">
      <c r="B133" s="45" t="s">
        <v>360</v>
      </c>
      <c r="C133" s="41">
        <f>Input!$B$7</f>
        <v>25</v>
      </c>
      <c r="D133" s="42" t="str">
        <f>Input!$B$9</f>
        <v>LW903</v>
      </c>
      <c r="E133" s="42">
        <f>Input!$B$10</f>
        <v>1422</v>
      </c>
      <c r="F133" s="43">
        <f>Input!$B$5</f>
        <v>43900</v>
      </c>
      <c r="G133" s="34" t="s">
        <v>0</v>
      </c>
      <c r="H133" s="34" t="s">
        <v>680</v>
      </c>
      <c r="I133" s="34">
        <v>129</v>
      </c>
      <c r="J133" s="41" t="e">
        <f>IF(Input!$B$12="2D","",INDEX(Input!$I$21:$I$146,MATCH(Table4[[#This Row],[MARK ID]],Input!$H$21:$H$146,0)))</f>
        <v>#N/A</v>
      </c>
      <c r="K133" s="41" t="e">
        <f>IF(Input!$B$12="2D","",INDEX(Input!$J$21:$J$146,MATCH(Table4[[#This Row],[MARK ID]],Input!$H$21:$H$146,0)))</f>
        <v>#N/A</v>
      </c>
      <c r="L133" s="24">
        <f>IFERROR(IF(Table4[[#This Row],[JOB NAME]]="A9MR",INDEX(Table9[R.L.],MATCH(Table4[[#This Row],[MARK ID]],Table9[Point],0)),INDEX(Table96[R.L.],MATCH(Table4[[#This Row],[MARK ID]],Table96[Point],0))),"")</f>
        <v>136.92483379247057</v>
      </c>
      <c r="M13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14.054901929575442</v>
      </c>
      <c r="N133" s="41" t="str">
        <f>IF(Input!$B$8=0,"",Input!$B$8)</f>
        <v/>
      </c>
      <c r="O133" s="34" t="s">
        <v>886</v>
      </c>
    </row>
    <row r="134" spans="2:15" x14ac:dyDescent="0.2">
      <c r="B134" s="45" t="s">
        <v>360</v>
      </c>
      <c r="C134" s="41">
        <f>Input!$B$7</f>
        <v>25</v>
      </c>
      <c r="D134" s="42" t="str">
        <f>Input!$B$9</f>
        <v>LW903</v>
      </c>
      <c r="E134" s="42">
        <f>Input!$B$10</f>
        <v>1422</v>
      </c>
      <c r="F134" s="43">
        <f>Input!$B$5</f>
        <v>43900</v>
      </c>
      <c r="G134" s="34" t="s">
        <v>0</v>
      </c>
      <c r="H134" s="34" t="s">
        <v>683</v>
      </c>
      <c r="I134" s="34">
        <v>130</v>
      </c>
      <c r="J134" s="41" t="e">
        <f>IF(Input!$B$12="2D","",INDEX(Input!$I$21:$I$146,MATCH(Table4[[#This Row],[MARK ID]],Input!$H$21:$H$146,0)))</f>
        <v>#N/A</v>
      </c>
      <c r="K134" s="41" t="e">
        <f>IF(Input!$B$12="2D","",INDEX(Input!$J$21:$J$146,MATCH(Table4[[#This Row],[MARK ID]],Input!$H$21:$H$146,0)))</f>
        <v>#N/A</v>
      </c>
      <c r="L134" s="24">
        <f>IFERROR(IF(Table4[[#This Row],[JOB NAME]]="A9MR",INDEX(Table9[R.L.],MATCH(Table4[[#This Row],[MARK ID]],Table9[Point],0)),INDEX(Table96[R.L.],MATCH(Table4[[#This Row],[MARK ID]],Table96[Point],0))),"")</f>
        <v>136.58369197658442</v>
      </c>
      <c r="M13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22.734572972678802</v>
      </c>
      <c r="N134" s="41" t="str">
        <f>IF(Input!$B$8=0,"",Input!$B$8)</f>
        <v/>
      </c>
      <c r="O134" s="34" t="s">
        <v>886</v>
      </c>
    </row>
    <row r="135" spans="2:15" x14ac:dyDescent="0.2">
      <c r="B135" s="45" t="s">
        <v>360</v>
      </c>
      <c r="C135" s="41">
        <f>Input!$B$7</f>
        <v>25</v>
      </c>
      <c r="D135" s="42" t="str">
        <f>Input!$B$9</f>
        <v>LW903</v>
      </c>
      <c r="E135" s="42">
        <f>Input!$B$10</f>
        <v>1422</v>
      </c>
      <c r="F135" s="43">
        <f>Input!$B$5</f>
        <v>43900</v>
      </c>
      <c r="G135" s="34" t="s">
        <v>0</v>
      </c>
      <c r="H135" s="34" t="s">
        <v>686</v>
      </c>
      <c r="I135" s="34">
        <v>131</v>
      </c>
      <c r="J135" s="41" t="e">
        <f>IF(Input!$B$12="2D","",INDEX(Input!$I$21:$I$146,MATCH(Table4[[#This Row],[MARK ID]],Input!$H$21:$H$146,0)))</f>
        <v>#N/A</v>
      </c>
      <c r="K135" s="41" t="e">
        <f>IF(Input!$B$12="2D","",INDEX(Input!$J$21:$J$146,MATCH(Table4[[#This Row],[MARK ID]],Input!$H$21:$H$146,0)))</f>
        <v>#N/A</v>
      </c>
      <c r="L135" s="24">
        <f>IFERROR(IF(Table4[[#This Row],[JOB NAME]]="A9MR",INDEX(Table9[R.L.],MATCH(Table4[[#This Row],[MARK ID]],Table9[Point],0)),INDEX(Table96[R.L.],MATCH(Table4[[#This Row],[MARK ID]],Table96[Point],0))),"")</f>
        <v>136.9685501606983</v>
      </c>
      <c r="M13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21.032878981488963</v>
      </c>
      <c r="N135" s="41" t="str">
        <f>IF(Input!$B$8=0,"",Input!$B$8)</f>
        <v/>
      </c>
      <c r="O135" s="34" t="s">
        <v>886</v>
      </c>
    </row>
    <row r="136" spans="2:15" x14ac:dyDescent="0.2">
      <c r="B136" s="45" t="s">
        <v>360</v>
      </c>
      <c r="C136" s="41">
        <f>Input!$B$7</f>
        <v>25</v>
      </c>
      <c r="D136" s="42" t="str">
        <f>Input!$B$9</f>
        <v>LW903</v>
      </c>
      <c r="E136" s="42">
        <f>Input!$B$10</f>
        <v>1422</v>
      </c>
      <c r="F136" s="43">
        <f>Input!$B$5</f>
        <v>43900</v>
      </c>
      <c r="G136" s="34" t="s">
        <v>0</v>
      </c>
      <c r="H136" s="34" t="s">
        <v>689</v>
      </c>
      <c r="I136" s="34">
        <v>132</v>
      </c>
      <c r="J136" s="41" t="e">
        <f>IF(Input!$B$12="2D","",INDEX(Input!$I$21:$I$146,MATCH(Table4[[#This Row],[MARK ID]],Input!$H$21:$H$146,0)))</f>
        <v>#N/A</v>
      </c>
      <c r="K136" s="41" t="e">
        <f>IF(Input!$B$12="2D","",INDEX(Input!$J$21:$J$146,MATCH(Table4[[#This Row],[MARK ID]],Input!$H$21:$H$146,0)))</f>
        <v>#N/A</v>
      </c>
      <c r="L136" s="24">
        <f>IFERROR(IF(Table4[[#This Row],[JOB NAME]]="A9MR",INDEX(Table9[R.L.],MATCH(Table4[[#This Row],[MARK ID]],Table9[Point],0)),INDEX(Table96[R.L.],MATCH(Table4[[#This Row],[MARK ID]],Table96[Point],0))),"")</f>
        <v>137.10590834481215</v>
      </c>
      <c r="M13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15.372608269256416</v>
      </c>
      <c r="N136" s="41" t="str">
        <f>IF(Input!$B$8=0,"",Input!$B$8)</f>
        <v/>
      </c>
      <c r="O136" s="34" t="s">
        <v>886</v>
      </c>
    </row>
    <row r="137" spans="2:15" x14ac:dyDescent="0.2">
      <c r="B137" s="45" t="s">
        <v>360</v>
      </c>
      <c r="C137" s="41">
        <f>Input!$B$7</f>
        <v>25</v>
      </c>
      <c r="D137" s="42" t="str">
        <f>Input!$B$9</f>
        <v>LW903</v>
      </c>
      <c r="E137" s="42">
        <f>Input!$B$10</f>
        <v>1422</v>
      </c>
      <c r="F137" s="43">
        <f>Input!$B$5</f>
        <v>43900</v>
      </c>
      <c r="G137" s="34" t="s">
        <v>0</v>
      </c>
      <c r="H137" s="34" t="s">
        <v>692</v>
      </c>
      <c r="I137" s="34">
        <v>133</v>
      </c>
      <c r="J137" s="41" t="e">
        <f>IF(Input!$B$12="2D","",INDEX(Input!$I$21:$I$146,MATCH(Table4[[#This Row],[MARK ID]],Input!$H$21:$H$146,0)))</f>
        <v>#N/A</v>
      </c>
      <c r="K137" s="41" t="e">
        <f>IF(Input!$B$12="2D","",INDEX(Input!$J$21:$J$146,MATCH(Table4[[#This Row],[MARK ID]],Input!$H$21:$H$146,0)))</f>
        <v>#N/A</v>
      </c>
      <c r="L137" s="24">
        <f>IFERROR(IF(Table4[[#This Row],[JOB NAME]]="A9MR",INDEX(Table9[R.L.],MATCH(Table4[[#This Row],[MARK ID]],Table9[Point],0)),INDEX(Table96[R.L.],MATCH(Table4[[#This Row],[MARK ID]],Table96[Point],0))),"")</f>
        <v>137.06626652892601</v>
      </c>
      <c r="M137" s="192" t="str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/>
      </c>
      <c r="N137" s="41" t="str">
        <f>IF(Input!$B$8=0,"",Input!$B$8)</f>
        <v/>
      </c>
      <c r="O137" s="34" t="s">
        <v>886</v>
      </c>
    </row>
    <row r="138" spans="2:15" s="57" customFormat="1" x14ac:dyDescent="0.2">
      <c r="B138" s="45" t="s">
        <v>731</v>
      </c>
      <c r="C138" s="41">
        <f>Input!$B$7</f>
        <v>25</v>
      </c>
      <c r="D138" s="42" t="str">
        <f>Input!$B$9</f>
        <v>LW903</v>
      </c>
      <c r="E138" s="42">
        <f>Input!$B$10</f>
        <v>1422</v>
      </c>
      <c r="F138" s="43">
        <f>Input!$B$5</f>
        <v>43900</v>
      </c>
      <c r="G138" s="34" t="s">
        <v>0</v>
      </c>
      <c r="H138" s="34" t="s">
        <v>474</v>
      </c>
      <c r="I138" s="34">
        <v>134</v>
      </c>
      <c r="J138" s="41">
        <f>IF(Input!$B$12="2D","",INDEX(Input!$I$21:$I$146,MATCH(Table4[[#This Row],[MARK ID]],Input!$H$21:$H$146,0)))</f>
        <v>288000.86680000002</v>
      </c>
      <c r="K138" s="41">
        <f>IF(Input!$B$12="2D","",INDEX(Input!$J$21:$J$146,MATCH(Table4[[#This Row],[MARK ID]],Input!$H$21:$H$146,0)))</f>
        <v>6216191.2423</v>
      </c>
      <c r="L138" s="24">
        <f>IFERROR(IF(Table4[[#This Row],[JOB NAME]]="A9MR",INDEX(Table9[R.L.],MATCH(Table4[[#This Row],[MARK ID]],Table9[Point],0)),INDEX(Table96[R.L.],MATCH(Table4[[#This Row],[MARK ID]],Table96[Point],0))),"")</f>
        <v>189.55705290899726</v>
      </c>
      <c r="M13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17.986930261999738</v>
      </c>
      <c r="N138" s="41" t="str">
        <f>IF(Input!$B$8=0,"",Input!$B$8)</f>
        <v/>
      </c>
      <c r="O138" s="34" t="s">
        <v>58</v>
      </c>
    </row>
    <row r="139" spans="2:15" s="57" customFormat="1" x14ac:dyDescent="0.2">
      <c r="B139" s="45" t="s">
        <v>731</v>
      </c>
      <c r="C139" s="41">
        <f>Input!$B$7</f>
        <v>25</v>
      </c>
      <c r="D139" s="42" t="str">
        <f>Input!$B$9</f>
        <v>LW903</v>
      </c>
      <c r="E139" s="42">
        <f>Input!$B$10</f>
        <v>1422</v>
      </c>
      <c r="F139" s="43">
        <f>Input!$B$5</f>
        <v>43900</v>
      </c>
      <c r="G139" s="34" t="s">
        <v>0</v>
      </c>
      <c r="H139" s="34" t="s">
        <v>477</v>
      </c>
      <c r="I139" s="34">
        <v>135</v>
      </c>
      <c r="J139" s="41">
        <f>IF(Input!$B$12="2D","",INDEX(Input!$I$21:$I$146,MATCH(Table4[[#This Row],[MARK ID]],Input!$H$21:$H$146,0)))</f>
        <v>288010.9374</v>
      </c>
      <c r="K139" s="41">
        <f>IF(Input!$B$12="2D","",INDEX(Input!$J$21:$J$146,MATCH(Table4[[#This Row],[MARK ID]],Input!$H$21:$H$146,0)))</f>
        <v>6216206.1496000001</v>
      </c>
      <c r="L139" s="24">
        <f>IFERROR(IF(Table4[[#This Row],[JOB NAME]]="A9MR",INDEX(Table9[R.L.],MATCH(Table4[[#This Row],[MARK ID]],Table9[Point],0)),INDEX(Table96[R.L.],MATCH(Table4[[#This Row],[MARK ID]],Table96[Point],0))),"")</f>
        <v>189.3479048882422</v>
      </c>
      <c r="M139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22.303857827738717</v>
      </c>
      <c r="N139" s="41" t="str">
        <f>IF(Input!$B$8=0,"",Input!$B$8)</f>
        <v/>
      </c>
      <c r="O139" s="34" t="s">
        <v>58</v>
      </c>
    </row>
    <row r="140" spans="2:15" s="57" customFormat="1" x14ac:dyDescent="0.2">
      <c r="B140" s="45" t="s">
        <v>731</v>
      </c>
      <c r="C140" s="41">
        <f>Input!$B$7</f>
        <v>25</v>
      </c>
      <c r="D140" s="42" t="str">
        <f>Input!$B$9</f>
        <v>LW903</v>
      </c>
      <c r="E140" s="42">
        <f>Input!$B$10</f>
        <v>1422</v>
      </c>
      <c r="F140" s="43">
        <f>Input!$B$5</f>
        <v>43900</v>
      </c>
      <c r="G140" s="34" t="s">
        <v>0</v>
      </c>
      <c r="H140" s="34" t="s">
        <v>494</v>
      </c>
      <c r="I140" s="34">
        <v>136</v>
      </c>
      <c r="J140" s="41">
        <f>IF(Input!$B$12="2D","",INDEX(Input!$I$21:$I$146,MATCH(Table4[[#This Row],[MARK ID]],Input!$H$21:$H$146,0)))</f>
        <v>288026.527</v>
      </c>
      <c r="K140" s="41">
        <f>IF(Input!$B$12="2D","",INDEX(Input!$J$21:$J$146,MATCH(Table4[[#This Row],[MARK ID]],Input!$H$21:$H$146,0)))</f>
        <v>6216222.1041999999</v>
      </c>
      <c r="L140" s="24">
        <f>IFERROR(IF(Table4[[#This Row],[JOB NAME]]="A9MR",INDEX(Table9[R.L.],MATCH(Table4[[#This Row],[MARK ID]],Table9[Point],0)),INDEX(Table96[R.L.],MATCH(Table4[[#This Row],[MARK ID]],Table96[Point],0))),"")</f>
        <v>186.46860884673205</v>
      </c>
      <c r="M14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24.635425326143146</v>
      </c>
      <c r="N140" s="41" t="str">
        <f>IF(Input!$B$8=0,"",Input!$B$8)</f>
        <v/>
      </c>
      <c r="O140" s="34" t="s">
        <v>58</v>
      </c>
    </row>
    <row r="141" spans="2:15" s="57" customFormat="1" x14ac:dyDescent="0.2">
      <c r="B141" s="45" t="s">
        <v>731</v>
      </c>
      <c r="C141" s="41">
        <f>Input!$B$7</f>
        <v>25</v>
      </c>
      <c r="D141" s="42" t="str">
        <f>Input!$B$9</f>
        <v>LW903</v>
      </c>
      <c r="E141" s="42">
        <f>Input!$B$10</f>
        <v>1422</v>
      </c>
      <c r="F141" s="43">
        <f>Input!$B$5</f>
        <v>43900</v>
      </c>
      <c r="G141" s="34" t="s">
        <v>0</v>
      </c>
      <c r="H141" s="34" t="s">
        <v>500</v>
      </c>
      <c r="I141" s="34">
        <v>137</v>
      </c>
      <c r="J141" s="41">
        <f>IF(Input!$B$12="2D","",INDEX(Input!$I$21:$I$146,MATCH(Table4[[#This Row],[MARK ID]],Input!$H$21:$H$146,0)))</f>
        <v>288047.27789999999</v>
      </c>
      <c r="K141" s="41">
        <f>IF(Input!$B$12="2D","",INDEX(Input!$J$21:$J$146,MATCH(Table4[[#This Row],[MARK ID]],Input!$H$21:$H$146,0)))</f>
        <v>6216235.3885000004</v>
      </c>
      <c r="L141" s="24">
        <f>IFERROR(IF(Table4[[#This Row],[JOB NAME]]="A9MR",INDEX(Table9[R.L.],MATCH(Table4[[#This Row],[MARK ID]],Table9[Point],0)),INDEX(Table96[R.L.],MATCH(Table4[[#This Row],[MARK ID]],Table96[Point],0))),"")</f>
        <v>181.39981280522181</v>
      </c>
      <c r="M14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20.148180029472055</v>
      </c>
      <c r="N141" s="41" t="str">
        <f>IF(Input!$B$8=0,"",Input!$B$8)</f>
        <v/>
      </c>
      <c r="O141" s="34" t="s">
        <v>58</v>
      </c>
    </row>
    <row r="142" spans="2:15" s="57" customFormat="1" x14ac:dyDescent="0.2">
      <c r="B142" s="45" t="s">
        <v>731</v>
      </c>
      <c r="C142" s="41">
        <f>Input!$B$7</f>
        <v>25</v>
      </c>
      <c r="D142" s="42" t="str">
        <f>Input!$B$9</f>
        <v>LW903</v>
      </c>
      <c r="E142" s="42">
        <f>Input!$B$10</f>
        <v>1422</v>
      </c>
      <c r="F142" s="43">
        <f>Input!$B$5</f>
        <v>43900</v>
      </c>
      <c r="G142" s="34" t="s">
        <v>0</v>
      </c>
      <c r="H142" s="34" t="s">
        <v>508</v>
      </c>
      <c r="I142" s="34">
        <v>138</v>
      </c>
      <c r="J142" s="41">
        <f>IF(Input!$B$12="2D","",INDEX(Input!$I$21:$I$146,MATCH(Table4[[#This Row],[MARK ID]],Input!$H$21:$H$146,0)))</f>
        <v>288064.43160000001</v>
      </c>
      <c r="K142" s="41">
        <f>IF(Input!$B$12="2D","",INDEX(Input!$J$21:$J$146,MATCH(Table4[[#This Row],[MARK ID]],Input!$H$21:$H$146,0)))</f>
        <v>6216245.9616999999</v>
      </c>
      <c r="L142" s="24">
        <f>IFERROR(IF(Table4[[#This Row],[JOB NAME]]="A9MR",INDEX(Table9[R.L.],MATCH(Table4[[#This Row],[MARK ID]],Table9[Point],0)),INDEX(Table96[R.L.],MATCH(Table4[[#This Row],[MARK ID]],Table96[Point],0))),"")</f>
        <v>176.67651676371173</v>
      </c>
      <c r="M14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18.703351491109856</v>
      </c>
      <c r="N142" s="41" t="str">
        <f>IF(Input!$B$8=0,"",Input!$B$8)</f>
        <v/>
      </c>
      <c r="O142" s="34" t="s">
        <v>58</v>
      </c>
    </row>
    <row r="143" spans="2:15" s="57" customFormat="1" x14ac:dyDescent="0.2">
      <c r="B143" s="45" t="s">
        <v>731</v>
      </c>
      <c r="C143" s="41">
        <f>Input!$B$7</f>
        <v>25</v>
      </c>
      <c r="D143" s="42" t="str">
        <f>Input!$B$9</f>
        <v>LW903</v>
      </c>
      <c r="E143" s="42">
        <f>Input!$B$10</f>
        <v>1422</v>
      </c>
      <c r="F143" s="43">
        <f>Input!$B$5</f>
        <v>43900</v>
      </c>
      <c r="G143" s="34" t="s">
        <v>0</v>
      </c>
      <c r="H143" s="34" t="s">
        <v>514</v>
      </c>
      <c r="I143" s="34">
        <v>139</v>
      </c>
      <c r="J143" s="41">
        <f>IF(Input!$B$12="2D","",INDEX(Input!$I$21:$I$146,MATCH(Table4[[#This Row],[MARK ID]],Input!$H$21:$H$146,0)))</f>
        <v>288080.32829999999</v>
      </c>
      <c r="K143" s="41">
        <f>IF(Input!$B$12="2D","",INDEX(Input!$J$21:$J$146,MATCH(Table4[[#This Row],[MARK ID]],Input!$H$21:$H$146,0)))</f>
        <v>6216255.8211000003</v>
      </c>
      <c r="L143" s="24">
        <f>IFERROR(IF(Table4[[#This Row],[JOB NAME]]="A9MR",INDEX(Table9[R.L.],MATCH(Table4[[#This Row],[MARK ID]],Table9[Point],0)),INDEX(Table96[R.L.],MATCH(Table4[[#This Row],[MARK ID]],Table96[Point],0))),"")</f>
        <v>173.91657270144648</v>
      </c>
      <c r="M143" s="192" t="str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/>
      </c>
      <c r="N143" s="41" t="str">
        <f>IF(Input!$B$8=0,"",Input!$B$8)</f>
        <v/>
      </c>
      <c r="O143" s="34" t="s">
        <v>58</v>
      </c>
    </row>
    <row r="144" spans="2:15" x14ac:dyDescent="0.2">
      <c r="B144" s="45" t="s">
        <v>731</v>
      </c>
      <c r="C144" s="41">
        <f>Input!$B$7</f>
        <v>25</v>
      </c>
      <c r="D144" s="42" t="str">
        <f>Input!$B$9</f>
        <v>LW903</v>
      </c>
      <c r="E144" s="42">
        <f>Input!$B$10</f>
        <v>1422</v>
      </c>
      <c r="F144" s="43">
        <f>Input!$B$5</f>
        <v>43900</v>
      </c>
      <c r="G144" s="34" t="s">
        <v>0</v>
      </c>
      <c r="H144" s="34" t="s">
        <v>484</v>
      </c>
      <c r="I144" s="34">
        <v>140</v>
      </c>
      <c r="J144" s="41">
        <f>IF(Input!$B$12="2D","",INDEX(Input!$I$21:$I$146,MATCH(Table4[[#This Row],[MARK ID]],Input!$H$21:$H$146,0)))</f>
        <v>287982.462</v>
      </c>
      <c r="K144" s="41">
        <f>IF(Input!$B$12="2D","",INDEX(Input!$J$21:$J$146,MATCH(Table4[[#This Row],[MARK ID]],Input!$H$21:$H$146,0)))</f>
        <v>6216215.1520999996</v>
      </c>
      <c r="L144" s="24">
        <f>IFERROR(IF(Table4[[#This Row],[JOB NAME]]="A9MR",INDEX(Table9[R.L.],MATCH(Table4[[#This Row],[MARK ID]],Table9[Point],0)),INDEX(Table96[R.L.],MATCH(Table4[[#This Row],[MARK ID]],Table96[Point],0))),"")</f>
        <v>186.10370092975236</v>
      </c>
      <c r="M14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19.036330561587299</v>
      </c>
      <c r="N144" s="41" t="str">
        <f>IF(Input!$B$8=0,"",Input!$B$8)</f>
        <v/>
      </c>
      <c r="O144" s="34" t="s">
        <v>58</v>
      </c>
    </row>
    <row r="145" spans="2:15" x14ac:dyDescent="0.2">
      <c r="B145" s="45" t="s">
        <v>731</v>
      </c>
      <c r="C145" s="41">
        <f>Input!$B$7</f>
        <v>25</v>
      </c>
      <c r="D145" s="42" t="str">
        <f>Input!$B$9</f>
        <v>LW903</v>
      </c>
      <c r="E145" s="42">
        <f>Input!$B$10</f>
        <v>1422</v>
      </c>
      <c r="F145" s="43">
        <f>Input!$B$5</f>
        <v>43900</v>
      </c>
      <c r="G145" s="34" t="s">
        <v>0</v>
      </c>
      <c r="H145" s="34" t="s">
        <v>491</v>
      </c>
      <c r="I145" s="34">
        <v>141</v>
      </c>
      <c r="J145" s="41">
        <f>IF(Input!$B$12="2D","",INDEX(Input!$I$21:$I$146,MATCH(Table4[[#This Row],[MARK ID]],Input!$H$21:$H$146,0)))</f>
        <v>287994.22210000001</v>
      </c>
      <c r="K145" s="41">
        <f>IF(Input!$B$12="2D","",INDEX(Input!$J$21:$J$146,MATCH(Table4[[#This Row],[MARK ID]],Input!$H$21:$H$146,0)))</f>
        <v>6216230.1270000003</v>
      </c>
      <c r="L145" s="24">
        <f>IFERROR(IF(Table4[[#This Row],[JOB NAME]]="A9MR",INDEX(Table9[R.L.],MATCH(Table4[[#This Row],[MARK ID]],Table9[Point],0)),INDEX(Table96[R.L.],MATCH(Table4[[#This Row],[MARK ID]],Table96[Point],0))),"")</f>
        <v>188.30675686748708</v>
      </c>
      <c r="M14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15.571652874694992</v>
      </c>
      <c r="N145" s="41" t="str">
        <f>IF(Input!$B$8=0,"",Input!$B$8)</f>
        <v/>
      </c>
      <c r="O145" s="34" t="s">
        <v>58</v>
      </c>
    </row>
    <row r="146" spans="2:15" x14ac:dyDescent="0.2">
      <c r="B146" s="45" t="s">
        <v>731</v>
      </c>
      <c r="C146" s="41">
        <f>Input!$B$7</f>
        <v>25</v>
      </c>
      <c r="D146" s="42" t="str">
        <f>Input!$B$9</f>
        <v>LW903</v>
      </c>
      <c r="E146" s="42">
        <f>Input!$B$10</f>
        <v>1422</v>
      </c>
      <c r="F146" s="43">
        <f>Input!$B$5</f>
        <v>43900</v>
      </c>
      <c r="G146" s="34" t="s">
        <v>0</v>
      </c>
      <c r="H146" s="34" t="s">
        <v>497</v>
      </c>
      <c r="I146" s="34">
        <v>142</v>
      </c>
      <c r="J146" s="41">
        <f>IF(Input!$B$12="2D","",INDEX(Input!$I$21:$I$146,MATCH(Table4[[#This Row],[MARK ID]],Input!$H$21:$H$146,0)))</f>
        <v>288004.82160000002</v>
      </c>
      <c r="K146" s="41">
        <f>IF(Input!$B$12="2D","",INDEX(Input!$J$21:$J$146,MATCH(Table4[[#This Row],[MARK ID]],Input!$H$21:$H$146,0)))</f>
        <v>6216241.5379999997</v>
      </c>
      <c r="L146" s="24">
        <f>IFERROR(IF(Table4[[#This Row],[JOB NAME]]="A9MR",INDEX(Table9[R.L.],MATCH(Table4[[#This Row],[MARK ID]],Table9[Point],0)),INDEX(Table96[R.L.],MATCH(Table4[[#This Row],[MARK ID]],Table96[Point],0))),"")</f>
        <v>188.42946082597695</v>
      </c>
      <c r="M146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23.459460788772585</v>
      </c>
      <c r="N146" s="41" t="str">
        <f>IF(Input!$B$8=0,"",Input!$B$8)</f>
        <v/>
      </c>
      <c r="O146" s="34" t="s">
        <v>58</v>
      </c>
    </row>
    <row r="147" spans="2:15" x14ac:dyDescent="0.2">
      <c r="B147" s="45" t="s">
        <v>731</v>
      </c>
      <c r="C147" s="41">
        <f>Input!$B$7</f>
        <v>25</v>
      </c>
      <c r="D147" s="42" t="str">
        <f>Input!$B$9</f>
        <v>LW903</v>
      </c>
      <c r="E147" s="42">
        <f>Input!$B$10</f>
        <v>1422</v>
      </c>
      <c r="F147" s="43">
        <f>Input!$B$5</f>
        <v>43900</v>
      </c>
      <c r="G147" s="34" t="s">
        <v>0</v>
      </c>
      <c r="H147" s="34" t="s">
        <v>505</v>
      </c>
      <c r="I147" s="34">
        <v>143</v>
      </c>
      <c r="J147" s="41">
        <f>IF(Input!$B$12="2D","",INDEX(Input!$I$21:$I$146,MATCH(Table4[[#This Row],[MARK ID]],Input!$H$21:$H$146,0)))</f>
        <v>288024.01280000003</v>
      </c>
      <c r="K147" s="41">
        <f>IF(Input!$B$12="2D","",INDEX(Input!$J$21:$J$146,MATCH(Table4[[#This Row],[MARK ID]],Input!$H$21:$H$146,0)))</f>
        <v>6216255.0138999997</v>
      </c>
      <c r="L147" s="24">
        <f>IFERROR(IF(Table4[[#This Row],[JOB NAME]]="A9MR",INDEX(Table9[R.L.],MATCH(Table4[[#This Row],[MARK ID]],Table9[Point],0)),INDEX(Table96[R.L.],MATCH(Table4[[#This Row],[MARK ID]],Table96[Point],0))),"")</f>
        <v>185.43716478446677</v>
      </c>
      <c r="M147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20.322569233491443</v>
      </c>
      <c r="N147" s="41" t="str">
        <f>IF(Input!$B$8=0,"",Input!$B$8)</f>
        <v/>
      </c>
      <c r="O147" s="34" t="s">
        <v>58</v>
      </c>
    </row>
    <row r="148" spans="2:15" x14ac:dyDescent="0.2">
      <c r="B148" s="45" t="s">
        <v>731</v>
      </c>
      <c r="C148" s="41">
        <f>Input!$B$7</f>
        <v>25</v>
      </c>
      <c r="D148" s="42" t="str">
        <f>Input!$B$9</f>
        <v>LW903</v>
      </c>
      <c r="E148" s="42">
        <f>Input!$B$10</f>
        <v>1422</v>
      </c>
      <c r="F148" s="43">
        <f>Input!$B$5</f>
        <v>43900</v>
      </c>
      <c r="G148" s="34" t="s">
        <v>0</v>
      </c>
      <c r="H148" s="34" t="s">
        <v>511</v>
      </c>
      <c r="I148" s="34">
        <v>144</v>
      </c>
      <c r="J148" s="41">
        <f>IF(Input!$B$12="2D","",INDEX(Input!$I$21:$I$146,MATCH(Table4[[#This Row],[MARK ID]],Input!$H$21:$H$146,0)))</f>
        <v>288042.86780000001</v>
      </c>
      <c r="K148" s="41">
        <f>IF(Input!$B$12="2D","",INDEX(Input!$J$21:$J$146,MATCH(Table4[[#This Row],[MARK ID]],Input!$H$21:$H$146,0)))</f>
        <v>6216262.6371999998</v>
      </c>
      <c r="L148" s="24">
        <f>IFERROR(IF(Table4[[#This Row],[JOB NAME]]="A9MR",INDEX(Table9[R.L.],MATCH(Table4[[#This Row],[MARK ID]],Table9[Point],0)),INDEX(Table96[R.L.],MATCH(Table4[[#This Row],[MARK ID]],Table96[Point],0))),"")</f>
        <v>180.44086874295661</v>
      </c>
      <c r="M148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21.283659465656008</v>
      </c>
      <c r="N148" s="41" t="str">
        <f>IF(Input!$B$8=0,"",Input!$B$8)</f>
        <v/>
      </c>
      <c r="O148" s="34" t="s">
        <v>58</v>
      </c>
    </row>
    <row r="149" spans="2:15" x14ac:dyDescent="0.2">
      <c r="B149" s="45" t="s">
        <v>731</v>
      </c>
      <c r="C149" s="41">
        <f>Input!$B$7</f>
        <v>25</v>
      </c>
      <c r="D149" s="42" t="str">
        <f>Input!$B$9</f>
        <v>LW903</v>
      </c>
      <c r="E149" s="42">
        <f>Input!$B$10</f>
        <v>1422</v>
      </c>
      <c r="F149" s="43">
        <f>Input!$B$5</f>
        <v>43900</v>
      </c>
      <c r="G149" s="34" t="s">
        <v>0</v>
      </c>
      <c r="H149" s="34" t="s">
        <v>517</v>
      </c>
      <c r="I149" s="34">
        <v>145</v>
      </c>
      <c r="J149" s="41">
        <f>IF(Input!$B$12="2D","",INDEX(Input!$I$21:$I$146,MATCH(Table4[[#This Row],[MARK ID]],Input!$H$21:$H$146,0)))</f>
        <v>288062.53869999998</v>
      </c>
      <c r="K149" s="41">
        <f>IF(Input!$B$12="2D","",INDEX(Input!$J$21:$J$146,MATCH(Table4[[#This Row],[MARK ID]],Input!$H$21:$H$146,0)))</f>
        <v>6216270.7706000004</v>
      </c>
      <c r="L149" s="24">
        <f>IFERROR(IF(Table4[[#This Row],[JOB NAME]]="A9MR",INDEX(Table9[R.L.],MATCH(Table4[[#This Row],[MARK ID]],Table9[Point],0)),INDEX(Table96[R.L.],MATCH(Table4[[#This Row],[MARK ID]],Table96[Point],0))),"")</f>
        <v>176.8827207222015</v>
      </c>
      <c r="M149" s="192" t="str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/>
      </c>
      <c r="N149" s="41" t="str">
        <f>IF(Input!$B$8=0,"",Input!$B$8)</f>
        <v/>
      </c>
      <c r="O149" s="34" t="s">
        <v>58</v>
      </c>
    </row>
    <row r="150" spans="2:15" x14ac:dyDescent="0.2">
      <c r="B150" s="45" t="s">
        <v>731</v>
      </c>
      <c r="C150" s="41">
        <f>Input!$B$7</f>
        <v>25</v>
      </c>
      <c r="D150" s="42" t="str">
        <f>Input!$B$9</f>
        <v>LW903</v>
      </c>
      <c r="E150" s="42">
        <f>Input!$B$10</f>
        <v>1422</v>
      </c>
      <c r="F150" s="43">
        <f>Input!$B$5</f>
        <v>43900</v>
      </c>
      <c r="G150" s="34" t="s">
        <v>732</v>
      </c>
      <c r="H150" s="34" t="s">
        <v>474</v>
      </c>
      <c r="I150" s="34">
        <v>146</v>
      </c>
      <c r="J150" s="41">
        <f>IF(Input!$B$12="2D","",INDEX(Input!$I$21:$I$146,MATCH(Table4[[#This Row],[MARK ID]],Input!$H$21:$H$146,0)))</f>
        <v>288000.86680000002</v>
      </c>
      <c r="K150" s="41">
        <f>IF(Input!$B$12="2D","",INDEX(Input!$J$21:$J$146,MATCH(Table4[[#This Row],[MARK ID]],Input!$H$21:$H$146,0)))</f>
        <v>6216191.2423</v>
      </c>
      <c r="L150" s="24">
        <f>IFERROR(IF(Table4[[#This Row],[JOB NAME]]="A9MR",INDEX(Table9[R.L.],MATCH(Table4[[#This Row],[MARK ID]],Table9[Point],0)),INDEX(Table96[R.L.],MATCH(Table4[[#This Row],[MARK ID]],Table96[Point],0))),"")</f>
        <v>189.55705290899726</v>
      </c>
      <c r="M150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30.168572554894858</v>
      </c>
      <c r="N150" s="41" t="str">
        <f>IF(Input!$B$8=0,"",Input!$B$8)</f>
        <v/>
      </c>
      <c r="O150" s="34" t="s">
        <v>58</v>
      </c>
    </row>
    <row r="151" spans="2:15" x14ac:dyDescent="0.2">
      <c r="B151" s="45" t="s">
        <v>731</v>
      </c>
      <c r="C151" s="41">
        <f>Input!$B$7</f>
        <v>25</v>
      </c>
      <c r="D151" s="42" t="str">
        <f>Input!$B$9</f>
        <v>LW903</v>
      </c>
      <c r="E151" s="42">
        <f>Input!$B$10</f>
        <v>1422</v>
      </c>
      <c r="F151" s="43">
        <f>Input!$B$5</f>
        <v>43900</v>
      </c>
      <c r="G151" s="34" t="s">
        <v>732</v>
      </c>
      <c r="H151" s="34" t="s">
        <v>477</v>
      </c>
      <c r="I151" s="34">
        <v>147</v>
      </c>
      <c r="J151" s="41">
        <f>IF(Input!$B$12="2D","",INDEX(Input!$I$21:$I$146,MATCH(Table4[[#This Row],[MARK ID]],Input!$H$21:$H$146,0)))</f>
        <v>288010.9374</v>
      </c>
      <c r="K151" s="41">
        <f>IF(Input!$B$12="2D","",INDEX(Input!$J$21:$J$146,MATCH(Table4[[#This Row],[MARK ID]],Input!$H$21:$H$146,0)))</f>
        <v>6216206.1496000001</v>
      </c>
      <c r="L151" s="24">
        <f>IFERROR(IF(Table4[[#This Row],[JOB NAME]]="A9MR",INDEX(Table9[R.L.],MATCH(Table4[[#This Row],[MARK ID]],Table9[Point],0)),INDEX(Table96[R.L.],MATCH(Table4[[#This Row],[MARK ID]],Table96[Point],0))),"")</f>
        <v>189.3479048882422</v>
      </c>
      <c r="M151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29.226194158665148</v>
      </c>
      <c r="N151" s="41" t="str">
        <f>IF(Input!$B$8=0,"",Input!$B$8)</f>
        <v/>
      </c>
      <c r="O151" s="34" t="s">
        <v>58</v>
      </c>
    </row>
    <row r="152" spans="2:15" x14ac:dyDescent="0.2">
      <c r="B152" s="45" t="s">
        <v>731</v>
      </c>
      <c r="C152" s="41">
        <f>Input!$B$7</f>
        <v>25</v>
      </c>
      <c r="D152" s="42" t="str">
        <f>Input!$B$9</f>
        <v>LW903</v>
      </c>
      <c r="E152" s="42">
        <f>Input!$B$10</f>
        <v>1422</v>
      </c>
      <c r="F152" s="43">
        <f>Input!$B$5</f>
        <v>43900</v>
      </c>
      <c r="G152" s="34" t="s">
        <v>732</v>
      </c>
      <c r="H152" s="34" t="s">
        <v>494</v>
      </c>
      <c r="I152" s="34">
        <v>148</v>
      </c>
      <c r="J152" s="41">
        <f>IF(Input!$B$12="2D","",INDEX(Input!$I$21:$I$146,MATCH(Table4[[#This Row],[MARK ID]],Input!$H$21:$H$146,0)))</f>
        <v>288026.527</v>
      </c>
      <c r="K152" s="41">
        <f>IF(Input!$B$12="2D","",INDEX(Input!$J$21:$J$146,MATCH(Table4[[#This Row],[MARK ID]],Input!$H$21:$H$146,0)))</f>
        <v>6216222.1041999999</v>
      </c>
      <c r="L152" s="24">
        <f>IFERROR(IF(Table4[[#This Row],[JOB NAME]]="A9MR",INDEX(Table9[R.L.],MATCH(Table4[[#This Row],[MARK ID]],Table9[Point],0)),INDEX(Table96[R.L.],MATCH(Table4[[#This Row],[MARK ID]],Table96[Point],0))),"")</f>
        <v>186.46860884673205</v>
      </c>
      <c r="M152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29.130972387649571</v>
      </c>
      <c r="N152" s="41" t="str">
        <f>IF(Input!$B$8=0,"",Input!$B$8)</f>
        <v/>
      </c>
      <c r="O152" s="34" t="s">
        <v>58</v>
      </c>
    </row>
    <row r="153" spans="2:15" x14ac:dyDescent="0.2">
      <c r="B153" s="45" t="s">
        <v>731</v>
      </c>
      <c r="C153" s="41">
        <f>Input!$B$7</f>
        <v>25</v>
      </c>
      <c r="D153" s="42" t="str">
        <f>Input!$B$9</f>
        <v>LW903</v>
      </c>
      <c r="E153" s="42">
        <f>Input!$B$10</f>
        <v>1422</v>
      </c>
      <c r="F153" s="43">
        <f>Input!$B$5</f>
        <v>43900</v>
      </c>
      <c r="G153" s="34" t="s">
        <v>732</v>
      </c>
      <c r="H153" s="34" t="s">
        <v>500</v>
      </c>
      <c r="I153" s="34">
        <v>149</v>
      </c>
      <c r="J153" s="41">
        <f>IF(Input!$B$12="2D","",INDEX(Input!$I$21:$I$146,MATCH(Table4[[#This Row],[MARK ID]],Input!$H$21:$H$146,0)))</f>
        <v>288047.27789999999</v>
      </c>
      <c r="K153" s="41">
        <f>IF(Input!$B$12="2D","",INDEX(Input!$J$21:$J$146,MATCH(Table4[[#This Row],[MARK ID]],Input!$H$21:$H$146,0)))</f>
        <v>6216235.3885000004</v>
      </c>
      <c r="L153" s="24">
        <f>IFERROR(IF(Table4[[#This Row],[JOB NAME]]="A9MR",INDEX(Table9[R.L.],MATCH(Table4[[#This Row],[MARK ID]],Table9[Point],0)),INDEX(Table96[R.L.],MATCH(Table4[[#This Row],[MARK ID]],Table96[Point],0))),"")</f>
        <v>181.39981280522181</v>
      </c>
      <c r="M153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30.427733751464768</v>
      </c>
      <c r="N153" s="41" t="str">
        <f>IF(Input!$B$8=0,"",Input!$B$8)</f>
        <v/>
      </c>
      <c r="O153" s="34" t="s">
        <v>58</v>
      </c>
    </row>
    <row r="154" spans="2:15" x14ac:dyDescent="0.2">
      <c r="B154" s="45" t="s">
        <v>731</v>
      </c>
      <c r="C154" s="41">
        <f>Input!$B$7</f>
        <v>25</v>
      </c>
      <c r="D154" s="42" t="str">
        <f>Input!$B$9</f>
        <v>LW903</v>
      </c>
      <c r="E154" s="42">
        <f>Input!$B$10</f>
        <v>1422</v>
      </c>
      <c r="F154" s="43">
        <f>Input!$B$5</f>
        <v>43900</v>
      </c>
      <c r="G154" s="34" t="s">
        <v>732</v>
      </c>
      <c r="H154" s="34" t="s">
        <v>508</v>
      </c>
      <c r="I154" s="34">
        <v>150</v>
      </c>
      <c r="J154" s="41">
        <f>IF(Input!$B$12="2D","",INDEX(Input!$I$21:$I$146,MATCH(Table4[[#This Row],[MARK ID]],Input!$H$21:$H$146,0)))</f>
        <v>288064.43160000001</v>
      </c>
      <c r="K154" s="41">
        <f>IF(Input!$B$12="2D","",INDEX(Input!$J$21:$J$146,MATCH(Table4[[#This Row],[MARK ID]],Input!$H$21:$H$146,0)))</f>
        <v>6216245.9616999999</v>
      </c>
      <c r="L154" s="24">
        <f>IFERROR(IF(Table4[[#This Row],[JOB NAME]]="A9MR",INDEX(Table9[R.L.],MATCH(Table4[[#This Row],[MARK ID]],Table9[Point],0)),INDEX(Table96[R.L.],MATCH(Table4[[#This Row],[MARK ID]],Table96[Point],0))),"")</f>
        <v>176.67651676371173</v>
      </c>
      <c r="M154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27.255257639582126</v>
      </c>
      <c r="N154" s="41" t="str">
        <f>IF(Input!$B$8=0,"",Input!$B$8)</f>
        <v/>
      </c>
      <c r="O154" s="34" t="s">
        <v>58</v>
      </c>
    </row>
    <row r="155" spans="2:15" x14ac:dyDescent="0.2">
      <c r="B155" s="45" t="s">
        <v>731</v>
      </c>
      <c r="C155" s="41">
        <f>Input!$B$7</f>
        <v>25</v>
      </c>
      <c r="D155" s="42" t="str">
        <f>Input!$B$9</f>
        <v>LW903</v>
      </c>
      <c r="E155" s="42">
        <f>Input!$B$10</f>
        <v>1422</v>
      </c>
      <c r="F155" s="43">
        <f>Input!$B$5</f>
        <v>43900</v>
      </c>
      <c r="G155" s="34" t="s">
        <v>732</v>
      </c>
      <c r="H155" s="34" t="s">
        <v>514</v>
      </c>
      <c r="I155" s="34">
        <v>151</v>
      </c>
      <c r="J155" s="41">
        <f>IF(Input!$B$12="2D","",INDEX(Input!$I$21:$I$146,MATCH(Table4[[#This Row],[MARK ID]],Input!$H$21:$H$146,0)))</f>
        <v>288080.32829999999</v>
      </c>
      <c r="K155" s="41">
        <f>IF(Input!$B$12="2D","",INDEX(Input!$J$21:$J$146,MATCH(Table4[[#This Row],[MARK ID]],Input!$H$21:$H$146,0)))</f>
        <v>6216255.8211000003</v>
      </c>
      <c r="L155" s="24">
        <f>IFERROR(IF(Table4[[#This Row],[JOB NAME]]="A9MR",INDEX(Table9[R.L.],MATCH(Table4[[#This Row],[MARK ID]],Table9[Point],0)),INDEX(Table96[R.L.],MATCH(Table4[[#This Row],[MARK ID]],Table96[Point],0))),"")</f>
        <v>173.91657270144648</v>
      </c>
      <c r="M155" s="192">
        <f>IFERROR(IF(AND(Table4[[#This Row],[JOB NAME]]="A9MR_CUT",Table4[[#This Row],[TYPE]]="CLOSURE"),INDEX(Table96[Closure Hz Dist],MATCH(Table4[[#This Row],[MARK ID]],Table96[Point],0)),IF(AND(Table4[[#This Row],[JOB NAME]]="A9MR_CUT",Table4[[#This Row],[TYPE]]="POINT"),INDEX(Table96[Strain Hz Dist],MATCH(Table4[[#This Row],[MARK ID]],Table96[Point],0)),INDEX(Table9[HzDistance],MATCH(Table4[[#This Row],[MARK ID]],Table9[Point],0)))),"")</f>
        <v>23.23353139860615</v>
      </c>
      <c r="N155" s="41" t="str">
        <f>IF(Input!$B$8=0,"",Input!$B$8)</f>
        <v/>
      </c>
      <c r="O155" s="34" t="s">
        <v>58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4E75BE-BF4C-4BBA-8795-AA6A1560C0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GNSS Offset</vt:lpstr>
      <vt:lpstr>BM Adoption GNSS</vt:lpstr>
      <vt:lpstr>Survey Data</vt:lpstr>
      <vt:lpstr>Cutting</vt:lpstr>
      <vt:lpstr>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Kelly, Michael</dc:creator>
  <cp:lastModifiedBy>Ogilvie, Heath</cp:lastModifiedBy>
  <cp:lastPrinted>2011-11-02T02:44:39Z</cp:lastPrinted>
  <dcterms:created xsi:type="dcterms:W3CDTF">1996-10-14T23:33:28Z</dcterms:created>
  <dcterms:modified xsi:type="dcterms:W3CDTF">2020-03-11T21:29:31Z</dcterms:modified>
</cp:coreProperties>
</file>