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9605" windowWidth="23085" xWindow="27900" yWindow="255"/>
  </bookViews>
  <sheets>
    <sheet name="Actions" sheetId="1" state="visible" r:id="rId1"/>
    <sheet name="Completed" sheetId="2" state="visible" r:id="rId2"/>
  </sheets>
  <definedNames>
    <definedName name="Complete">Actions!$D$70:$H$70</definedName>
  </definedNames>
  <calcPr calcId="181029" fullCalcOnLoad="1"/>
</workbook>
</file>

<file path=xl/sharedStrings.xml><?xml version="1.0" encoding="utf-8"?>
<sst xmlns="http://schemas.openxmlformats.org/spreadsheetml/2006/main" uniqueCount="94">
  <si>
    <t>Job Processing Tacker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</si>
  <si>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</si>
  <si>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</si>
  <si>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</si>
  <si>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</si>
  <si>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</si>
  <si>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</si>
  <si>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NOTE: Enter '2' in cell that doesn’t apply. 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</si>
  <si>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</si>
  <si>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</si>
  <si>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</si>
  <si>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</si>
  <si>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</si>
  <si>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</si>
  <si>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</si>
  <si>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</si>
  <si>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</si>
  <si>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</si>
  <si>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TEST3</t>
  </si>
  <si>
    <t>22/06/2020</t>
  </si>
  <si>
    <t>RW</t>
  </si>
  <si>
    <t>New Job 2</t>
  </si>
  <si>
    <t>19/06/2020</t>
  </si>
  <si>
    <t>new job 2</t>
  </si>
  <si>
    <t>manual</t>
  </si>
  <si>
    <t>rw</t>
  </si>
  <si>
    <t>fsdfds</t>
  </si>
  <si>
    <t>dsfdsf</t>
  </si>
  <si>
    <t>24 Wrightson Way Shed GMs</t>
  </si>
  <si>
    <t>12/06/2020</t>
  </si>
  <si>
    <t>HO</t>
  </si>
  <si>
    <t>STIS Hole Setup RTK</t>
  </si>
  <si>
    <t>A9 Menangle Rd Cutting</t>
  </si>
  <si>
    <t>A9 Menangle Rd</t>
  </si>
  <si>
    <t>A9 ARTC Embankment@74.7</t>
  </si>
  <si>
    <t>A9 ARTC Long Bay/Rail Creep</t>
  </si>
  <si>
    <t>A9 ARTC Culvert@74.7</t>
  </si>
  <si>
    <t>A9 ARTC 2D-3D</t>
  </si>
  <si>
    <t>24 Wrightson Way + Install</t>
  </si>
  <si>
    <t>AA9 Menangle Road Cutting</t>
  </si>
  <si>
    <t>DP</t>
  </si>
  <si>
    <t>10 Wrightson Way + Install</t>
  </si>
  <si>
    <t xml:space="preserve">AA9 Menangle Road 3D </t>
  </si>
  <si>
    <t>03/06/2020</t>
  </si>
  <si>
    <t>XML off</t>
  </si>
  <si>
    <t>Swamp 23</t>
  </si>
  <si>
    <t>LA2 RB 2 &amp; 13</t>
  </si>
  <si>
    <t>Harris Creek Cliff Lines</t>
  </si>
  <si>
    <t>AA9 Endeavour Poles</t>
  </si>
  <si>
    <t>20 Wrightson Way + Install</t>
  </si>
  <si>
    <t>AA7 Menangle Road 3D</t>
  </si>
  <si>
    <t>AA9 Far Field</t>
  </si>
  <si>
    <t>27/05/2020</t>
  </si>
  <si>
    <t>Nep X Lines</t>
  </si>
  <si>
    <t>A9 Menangle Road Cutting</t>
  </si>
  <si>
    <t>A9 Menangle Road</t>
  </si>
  <si>
    <t>Emb and Cul 74.7km</t>
  </si>
  <si>
    <t>LB/RC</t>
  </si>
  <si>
    <t>A9 ARTC 2D</t>
  </si>
  <si>
    <t xml:space="preserve">Boreholes Dend </t>
  </si>
  <si>
    <t>Avon Dam (NDC X) A, E</t>
  </si>
  <si>
    <t>ARTC 2D</t>
  </si>
  <si>
    <t>Raumer Property</t>
  </si>
  <si>
    <t xml:space="preserve">Avon Dam (NDC X) B, C, D </t>
  </si>
  <si>
    <t>MA/HO</t>
  </si>
  <si>
    <t>HCCL Survey</t>
  </si>
  <si>
    <t>Menangle Road 2D + Cutting</t>
  </si>
  <si>
    <t>AA9 ARTC 3D</t>
  </si>
  <si>
    <t>955 Menangle Road Property</t>
  </si>
  <si>
    <t>Menangle Road 3D + Cutting</t>
  </si>
  <si>
    <t>AA7 69km Embankment RTK</t>
  </si>
  <si>
    <t>MA</t>
  </si>
  <si>
    <t>25 Wrightson Way+ Install</t>
  </si>
  <si>
    <t>Base Survey (results created)</t>
  </si>
  <si>
    <t>31 Wrightson Way+ Install</t>
  </si>
  <si>
    <t>WC15 Rockbars 9, 28, 34</t>
  </si>
  <si>
    <t>Waterfall 54</t>
  </si>
  <si>
    <t>AA7 POSI</t>
  </si>
  <si>
    <t>37 Wrightsons Way + Install</t>
  </si>
  <si>
    <t>Dend Far Field GPS</t>
  </si>
  <si>
    <t>Wonga Cross Lines (2 days)</t>
  </si>
  <si>
    <t>HCCL Sensor Pickup RTK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</si>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</sst>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>
  <numFmts count="0"/>
  <fonts count="2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B05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Copperplate Gothic Bold"/>
      <family val="2"/>
      <color rgb="FF000000"/>
      <sz val="14"/>
    </font>
    <font>
      <name val="Calibri"/>
      <family val="2"/>
      <color rgb="FFFFFF00"/>
      <sz val="11"/>
      <scheme val="minor"/>
    </font>
    <font>
      <name val="Calibri"/>
      <family val="2"/>
      <color rgb="FF70AD47"/>
      <sz val="11"/>
      <scheme val="minor"/>
    </font>
    <font>
      <name val="72 Light"/>
      <family val="2"/>
      <b val="1"/>
      <color theme="5" tint="-0.249977111117893"/>
      <sz val="36"/>
    </font>
    <font>
      <name val="Calibri"/>
      <color rgb="FFFF0000"/>
      <sz val="11"/>
    </font>
    <font>
      <name val="Webdings"/>
      <charset val="2"/>
      <family val="1"/>
      <color theme="4"/>
      <sz val="11"/>
    </font>
    <font>
      <name val="Calibri"/>
      <color rgb="FFFF0000"/>
      <sz val="11"/>
    </font>
    <font>
      <name val="Calibri"/>
      <color rgb="FF00B050"/>
      <sz val="11"/>
    </font>
    <font>
      <name val="Calibri"/>
      <color rgb="FFFF0000"/>
      <sz val="11"/>
    </font>
    <font>
      <name val="Calibri"/>
      <color rgb="FF00B050"/>
      <sz val="11"/>
    </font>
    <font>
      <name val="Calibri"/>
      <color rgb="FFFFFF00"/>
      <sz val="11"/>
    </font>
    <font>
      <name val="Calibri"/>
      <color rgb="FFFF0000"/>
      <sz val="11"/>
    </font>
    <font>
      <name val="Calibri"/>
      <color rgb="FF00B050"/>
      <sz val="11"/>
    </font>
    <font>
      <name val="Calibri"/>
      <color rgb="FFFFFF00"/>
      <sz val="11"/>
    </font>
    <font>
      <name val="Webdings"/>
      <color rgb="FF4472C4"/>
      <sz val="11"/>
    </font>
    <font>
      <color rgb="00FF0000"/>
    </font>
    <font>
      <color rgb="0000B050"/>
    </font>
    <font>
      <color rgb="00FFFF00"/>
    </font>
    <font>
      <name val="Webdings"/>
      <color rgb="004472C4"/>
    </font>
  </fonts>
  <fills count="2">
    <fill>
      <patternFill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00000000"/>
      </bottom>
      <diagonal/>
    </border>
  </borders>
  <cellStyleXfs count="2">
    <xf borderId="0" fillId="0" fontId="0" numFmtId="0"/>
    <xf borderId="0" fillId="0" fontId="5" numFmtId="0"/>
  </cellStyleXfs>
  <cellXfs count="55">
    <xf borderId="0" fillId="0" fontId="0" numFmtId="0" pivotButton="0" quotePrefix="0" xfId="0"/>
    <xf borderId="0" fillId="0" fontId="2" numFmtId="0" pivotButton="0" quotePrefix="0" xfId="0"/>
    <xf borderId="0" fillId="0" fontId="4" numFmtId="0" pivotButton="0" quotePrefix="0" xfId="0"/>
    <xf applyAlignment="1" borderId="0" fillId="0" fontId="6" numFmtId="0" pivotButton="0" quotePrefix="0" xfId="0">
      <alignment horizontal="center"/>
    </xf>
    <xf applyAlignment="1" borderId="0" fillId="0" fontId="1" numFmtId="0" pivotButton="0" quotePrefix="0" xfId="0">
      <alignment horizontal="center"/>
    </xf>
    <xf applyAlignment="1" borderId="0" fillId="0" fontId="1" numFmtId="0" pivotButton="0" quotePrefix="0" xfId="0">
      <alignment horizontal="left"/>
    </xf>
    <xf borderId="2" fillId="0" fontId="0" numFmtId="0" pivotButton="0" quotePrefix="0" xfId="0"/>
    <xf borderId="3" fillId="0" fontId="0" numFmtId="0" pivotButton="0" quotePrefix="0" xfId="0"/>
    <xf borderId="4" fillId="0" fontId="0" numFmtId="0" pivotButton="0" quotePrefix="0" xfId="0"/>
    <xf borderId="5" fillId="0" fontId="0" numFmtId="0" pivotButton="0" quotePrefix="0" xfId="0"/>
    <xf borderId="6" fillId="0" fontId="0" numFmtId="0" pivotButton="0" quotePrefix="0" xfId="0"/>
    <xf applyAlignment="1" borderId="7" fillId="0" fontId="7" numFmtId="0" pivotButton="0" quotePrefix="0" xfId="1">
      <alignment horizontal="left"/>
    </xf>
    <xf applyAlignment="1" borderId="7" fillId="0" fontId="5" numFmtId="0" pivotButton="0" quotePrefix="0" xfId="1">
      <alignment horizontal="left"/>
    </xf>
    <xf borderId="7" fillId="0" fontId="0" numFmtId="0" pivotButton="0" quotePrefix="0" xfId="0"/>
    <xf borderId="8" fillId="0" fontId="0" numFmtId="0" pivotButton="0" quotePrefix="0" xfId="0"/>
    <xf borderId="1" fillId="0" fontId="3" numFmtId="0" pivotButton="0" quotePrefix="0" xfId="0"/>
    <xf applyAlignment="1" borderId="9" fillId="0" fontId="6" numFmtId="0" pivotButton="0" quotePrefix="0" xfId="0">
      <alignment horizontal="center"/>
    </xf>
    <xf applyAlignment="1" borderId="10" fillId="0" fontId="1" numFmtId="0" pivotButton="0" quotePrefix="0" xfId="0">
      <alignment horizontal="center"/>
    </xf>
    <xf applyAlignment="1" borderId="0" fillId="0" fontId="0" numFmtId="14" pivotButton="0" quotePrefix="0" xfId="0">
      <alignment horizontal="left"/>
    </xf>
    <xf applyAlignment="1" borderId="0" fillId="0" fontId="7" numFmtId="0" pivotButton="0" quotePrefix="0" xfId="0">
      <alignment horizontal="center"/>
    </xf>
    <xf applyAlignment="1" borderId="0" fillId="0" fontId="7" numFmtId="0" pivotButton="0" quotePrefix="0" xfId="1">
      <alignment horizontal="left"/>
    </xf>
    <xf applyAlignment="1" borderId="0" fillId="0" fontId="8" numFmtId="0" pivotButton="0" quotePrefix="0" xfId="1">
      <alignment horizontal="left"/>
    </xf>
    <xf applyAlignment="1" borderId="7" fillId="0" fontId="8" numFmtId="0" pivotButton="0" quotePrefix="0" xfId="1">
      <alignment horizontal="left"/>
    </xf>
    <xf applyAlignment="1" borderId="9" fillId="0" fontId="10" numFmtId="0" pivotButton="0" quotePrefix="0" xfId="0">
      <alignment horizontal="center"/>
    </xf>
    <xf applyAlignment="1" borderId="9" fillId="0" fontId="11" numFmtId="0" pivotButton="0" quotePrefix="0" xfId="0">
      <alignment horizontal="center"/>
    </xf>
    <xf applyAlignment="1" borderId="9" fillId="0" fontId="1" numFmtId="0" pivotButton="0" quotePrefix="0" xfId="0">
      <alignment horizontal="center"/>
    </xf>
    <xf applyAlignment="1" borderId="0" fillId="0" fontId="7" numFmtId="14" pivotButton="0" quotePrefix="0" xfId="0">
      <alignment horizontal="center"/>
    </xf>
    <xf applyAlignment="1" borderId="0" fillId="0" fontId="13" numFmtId="14" pivotButton="0" quotePrefix="0" xfId="0">
      <alignment horizontal="center"/>
    </xf>
    <xf borderId="0" fillId="0" fontId="14" numFmtId="0" pivotButton="0" quotePrefix="0" xfId="0"/>
    <xf applyAlignment="1" borderId="0" fillId="0" fontId="0" numFmtId="0" pivotButton="0" quotePrefix="0" xfId="0">
      <alignment horizontal="left"/>
    </xf>
    <xf applyAlignment="1" borderId="0" fillId="0" fontId="0" numFmtId="14" pivotButton="0" quotePrefix="0" xfId="0">
      <alignment horizontal="center"/>
    </xf>
    <xf applyAlignment="1" borderId="9" fillId="0" fontId="16" numFmtId="0" pivotButton="0" quotePrefix="0" xfId="0">
      <alignment horizontal="center"/>
    </xf>
    <xf applyAlignment="1" borderId="0" fillId="0" fontId="15" numFmtId="14" pivotButton="0" quotePrefix="0" xfId="0">
      <alignment horizontal="center"/>
    </xf>
    <xf applyAlignment="1" borderId="9" fillId="0" fontId="0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0" fontId="17" numFmtId="0" pivotButton="0" quotePrefix="0" xfId="0">
      <alignment horizontal="center"/>
    </xf>
    <xf applyAlignment="1" borderId="11" fillId="0" fontId="18" numFmtId="0" pivotButton="0" quotePrefix="0" xfId="0">
      <alignment horizontal="center"/>
    </xf>
    <xf applyAlignment="1" borderId="11" fillId="0" fontId="19" numFmtId="0" pivotButton="0" quotePrefix="0" xfId="0">
      <alignment horizontal="center"/>
    </xf>
    <xf applyAlignment="1" borderId="0" fillId="0" fontId="5" numFmtId="0" pivotButton="0" quotePrefix="0" xfId="1">
      <alignment horizontal="left"/>
    </xf>
    <xf borderId="0" fillId="0" fontId="0" numFmtId="0" pivotButton="0" quotePrefix="0" xfId="0"/>
    <xf applyAlignment="1" borderId="0" fillId="0" fontId="1" numFmtId="14" pivotButton="0" quotePrefix="0" xfId="0">
      <alignment horizontal="center"/>
    </xf>
    <xf applyAlignment="1" borderId="0" fillId="0" fontId="20" numFmtId="14" pivotButton="0" quotePrefix="0" xfId="0">
      <alignment horizontal="center"/>
    </xf>
    <xf applyAlignment="1" borderId="9" fillId="0" fontId="21" numFmtId="0" pivotButton="0" quotePrefix="0" xfId="0">
      <alignment horizontal="center"/>
    </xf>
    <xf applyAlignment="1" borderId="9" fillId="0" fontId="22" numFmtId="0" pivotButton="0" quotePrefix="0" xfId="0">
      <alignment horizontal="center"/>
    </xf>
    <xf applyAlignment="1" borderId="0" fillId="0" fontId="20" numFmtId="0" pivotButton="0" quotePrefix="0" xfId="0">
      <alignment horizontal="center"/>
    </xf>
    <xf applyAlignment="1" borderId="12" fillId="0" fontId="21" numFmtId="0" pivotButton="0" quotePrefix="0" xfId="0">
      <alignment horizontal="center"/>
    </xf>
    <xf applyAlignment="1" borderId="12" fillId="0" fontId="22" numFmtId="0" pivotButton="0" quotePrefix="0" xfId="0">
      <alignment horizontal="center"/>
    </xf>
    <xf borderId="0" fillId="0" fontId="23" numFmtId="0" pivotButton="0" quotePrefix="0" xfId="0"/>
    <xf applyAlignment="1" borderId="0" fillId="0" fontId="5" numFmtId="0" pivotButton="0" quotePrefix="0" xfId="1">
      <alignment horizontal="left"/>
    </xf>
    <xf borderId="0" fillId="0" fontId="0" numFmtId="0" pivotButton="0" quotePrefix="0" xfId="0"/>
    <xf applyAlignment="1" borderId="0" fillId="0" fontId="12" numFmtId="0" pivotButton="0" quotePrefix="0" xfId="0">
      <alignment horizontal="center" vertical="center"/>
    </xf>
    <xf applyAlignment="1" borderId="0" fillId="0" fontId="24" numFmtId="0" pivotButton="0" quotePrefix="0" xfId="0">
      <alignment horizontal="center"/>
    </xf>
    <xf applyAlignment="1" borderId="13" fillId="0" fontId="25" numFmtId="0" pivotButton="0" quotePrefix="0" xfId="0">
      <alignment horizontal="center"/>
    </xf>
    <xf applyAlignment="1" borderId="13" fillId="0" fontId="26" numFmtId="0" pivotButton="0" quotePrefix="0" xfId="0">
      <alignment horizontal="center"/>
    </xf>
    <xf borderId="0" fillId="0" fontId="27" numFmtId="0" pivotButton="0" quotePrefix="0" xfId="0"/>
  </cellXfs>
  <cellStyles count="2">
    <cellStyle builtinId="0" name="Normal" xfId="0"/>
    <cellStyle builtinId="8" name="Hyperlink" xfId="1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haredStrings.xml" Type="http://schemas.openxmlformats.org/officeDocument/2006/relationships/sharedStrings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arget="..\..\Survey%20Results" TargetMode="External" Type="http://schemas.openxmlformats.org/officeDocument/2006/relationships/hyperlink" /><Relationship Id="rId2" Target="MONITORING" TargetMode="External" Type="http://schemas.openxmlformats.org/officeDocument/2006/relationships/hyperlink" /><Relationship Id="anysvml" Target="/xl/drawings/vmlDrawing1.vml" Type="http://schemas.openxmlformats.org/officeDocument/2006/relationships/vmlDrawing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J111"/>
  <sheetViews>
    <sheetView tabSelected="1" workbookViewId="0">
      <selection activeCell="D19" sqref="D19"/>
    </sheetView>
  </sheetViews>
  <sheetFormatPr baseColWidth="8" defaultRowHeight="15" outlineLevelCol="0"/>
  <cols>
    <col customWidth="1" max="1" min="1" style="49" width="30.42578125"/>
    <col customWidth="1" max="8" min="2" style="49" width="11.7109375"/>
    <col customWidth="1" max="9" min="9" style="49" width="30.7109375"/>
    <col customWidth="1" max="10" min="10" style="49" width="22.42578125"/>
    <col bestFit="1" customWidth="1" max="12" min="12" style="49" width="12.5703125"/>
    <col customWidth="1" max="13" min="13" style="49" width="15.7109375"/>
  </cols>
  <sheetData>
    <row customHeight="1" ht="51.75" r="1" s="49" spans="1:10">
      <c r="A1" s="50" t="s">
        <v>0</v>
      </c>
    </row>
    <row customHeight="1" ht="19.5" r="2" s="49" spans="1:10" thickBot="1">
      <c r="A2" s="1" t="n"/>
      <c r="B2" s="1" t="n"/>
      <c r="C2" s="1" t="n"/>
      <c r="D2" s="2" t="b">
        <v>1</v>
      </c>
    </row>
    <row r="3" spans="1:10">
      <c r="A3" s="15" t="s">
        <v>1</v>
      </c>
      <c r="B3" s="6" t="n"/>
      <c r="C3" s="6" t="n"/>
      <c r="D3" s="6" t="n"/>
      <c r="E3" s="6" t="n"/>
      <c r="F3" s="6" t="n"/>
      <c r="G3" s="6" t="n"/>
      <c r="H3" s="6" t="n"/>
      <c r="I3" s="6" t="n"/>
      <c r="J3" s="7" t="n"/>
    </row>
    <row r="4" spans="1:10">
      <c r="A4" s="8" t="n"/>
      <c r="J4" s="9" t="n"/>
    </row>
    <row r="5" spans="1:10">
      <c r="A5" s="8" t="s">
        <v>2</v>
      </c>
      <c r="B5" s="48" t="s">
        <v>3</v>
      </c>
      <c r="J5" s="9" t="n"/>
    </row>
    <row r="6" spans="1:10">
      <c r="A6" s="8" t="s">
        <v>4</v>
      </c>
      <c r="B6" s="48" t="s">
        <v>5</v>
      </c>
      <c r="J6" s="9" t="n"/>
    </row>
    <row r="7" spans="1:10">
      <c r="A7" s="8" t="n"/>
      <c r="B7" s="21" t="s">
        <v>6</v>
      </c>
      <c r="C7" s="20" t="n"/>
      <c r="D7" s="48" t="n"/>
      <c r="E7" s="48" t="n"/>
      <c r="F7" s="48" t="n"/>
      <c r="J7" s="9" t="n"/>
    </row>
    <row customHeight="1" ht="15.75" r="8" s="49" spans="1:10" thickBot="1">
      <c r="A8" s="10" t="n"/>
      <c r="B8" s="22" t="s">
        <v>7</v>
      </c>
      <c r="C8" s="11" t="n"/>
      <c r="D8" s="12" t="n"/>
      <c r="E8" s="12" t="n"/>
      <c r="F8" s="12" t="n"/>
      <c r="G8" s="13" t="n"/>
      <c r="H8" s="13" t="n"/>
      <c r="I8" s="13" t="n"/>
      <c r="J8" s="14" t="n"/>
    </row>
    <row customHeight="1" ht="15.75" r="9" s="49" spans="1:10">
      <c r="B9" s="26">
        <f>TODAY()</f>
        <v/>
      </c>
      <c r="C9" s="26" t="n"/>
      <c r="D9" s="16" t="n"/>
      <c r="E9" s="16" t="n"/>
      <c r="F9" s="16" t="n"/>
      <c r="G9" s="16" t="n"/>
      <c r="H9" s="16" t="n"/>
      <c r="J9" s="28">
        <f>IF(SUM(D9:H9)&gt;5,REPT("g",10),(REPT("g",SUM(D9:H9)*2)))</f>
        <v/>
      </c>
    </row>
    <row r="10" spans="1:10">
      <c r="A10" s="5" t="s">
        <v>8</v>
      </c>
      <c r="B10" s="4" t="s">
        <v>9</v>
      </c>
      <c r="C10" s="17" t="s">
        <v>10</v>
      </c>
      <c r="D10" s="17" t="s">
        <v>11</v>
      </c>
      <c r="E10" s="17" t="s">
        <v>12</v>
      </c>
      <c r="F10" s="17" t="s">
        <v>13</v>
      </c>
      <c r="G10" s="17" t="s">
        <v>14</v>
      </c>
      <c r="H10" s="17" t="s">
        <v>15</v>
      </c>
      <c r="I10" s="4" t="s">
        <v>16</v>
      </c>
      <c r="J10" s="4" t="s">
        <v>17</v>
      </c>
    </row>
    <row customHeight="1" ht="15.75" r="11" s="49" spans="1:10">
      <c r="A11" t="s">
        <v>18</v>
      </c>
      <c r="B11" s="34" t="s">
        <v>19</v>
      </c>
      <c r="C11" s="51" t="s">
        <v>20</v>
      </c>
      <c r="D11" s="52" t="n">
        <v>1</v>
      </c>
      <c r="E11" s="52" t="n">
        <v>1</v>
      </c>
      <c r="F11" s="52" t="n">
        <v>1</v>
      </c>
      <c r="G11" s="52" t="s"/>
      <c r="H11" s="53" t="n">
        <v>1</v>
      </c>
      <c r="I11" t="s">
        <v>18</v>
      </c>
      <c r="J11" s="54">
        <f>IF(SUM(D11: H11) &gt; 5, REPT("g", 10), (REPT("g", SUM(D11: H11) * 2)))</f>
        <v/>
      </c>
    </row>
    <row customHeight="1" ht="15.75" r="12" s="49" spans="1:10">
      <c r="A12" t="s">
        <v>21</v>
      </c>
      <c r="B12" s="34" t="s">
        <v>22</v>
      </c>
      <c r="C12" s="51" t="s">
        <v>20</v>
      </c>
      <c r="D12" s="52" t="n">
        <v>1</v>
      </c>
      <c r="E12" s="52" t="n">
        <v>1</v>
      </c>
      <c r="F12" s="52" t="n"/>
      <c r="G12" s="52" t="n"/>
      <c r="H12" s="53" t="n"/>
      <c r="I12" t="s">
        <v>23</v>
      </c>
      <c r="J12" s="54">
        <f>IF(SUM(D12: H12) &gt; 5, REPT("g", 10), (REPT("g", SUM(D12: H12) * 2)))</f>
        <v/>
      </c>
    </row>
    <row customHeight="1" ht="15.75" r="13" s="49" spans="1:10">
      <c r="A13" s="5" t="s">
        <v>24</v>
      </c>
      <c r="B13" s="40" t="n">
        <v>44001</v>
      </c>
      <c r="C13" s="26" t="s">
        <v>25</v>
      </c>
      <c r="D13" s="16" t="n"/>
      <c r="E13" s="16" t="n"/>
      <c r="F13" s="16" t="n"/>
      <c r="G13" s="16" t="n"/>
      <c r="H13" s="16" t="n"/>
      <c r="J13" s="54">
        <f>IF(SUM(D13: H13) &gt; 5, REPT("g", 10), (REPT("g", SUM(D13: H13) * 2)))</f>
        <v/>
      </c>
    </row>
    <row customHeight="1" ht="15.75" r="14" s="49" spans="1:10">
      <c r="A14" t="s">
        <v>26</v>
      </c>
      <c r="B14" s="34" t="s">
        <v>22</v>
      </c>
      <c r="C14" s="44" t="s">
        <v>20</v>
      </c>
      <c r="D14" s="45" t="n">
        <v>1</v>
      </c>
      <c r="E14" s="45" t="n">
        <v>1</v>
      </c>
      <c r="F14" s="45" t="n"/>
      <c r="G14" s="45" t="n"/>
      <c r="H14" s="46" t="n"/>
      <c r="J14" s="54">
        <f>IF(SUM(D14: H14) &gt; 5, REPT("g", 10), (REPT("g", SUM(D14: H14) * 2)))</f>
        <v/>
      </c>
    </row>
    <row customHeight="1" ht="15.75" r="15" s="49" spans="1:10">
      <c r="A15" s="5" t="s">
        <v>24</v>
      </c>
      <c r="B15" s="40" t="s">
        <v>22</v>
      </c>
      <c r="C15" s="41" t="s">
        <v>20</v>
      </c>
      <c r="D15" s="42" t="n">
        <v>1</v>
      </c>
      <c r="E15" s="42" t="n"/>
      <c r="F15" s="42" t="n"/>
      <c r="G15" s="42" t="n"/>
      <c r="H15" s="43" t="n"/>
      <c r="J15" s="54">
        <f>IF(SUM(D15: H15) &gt; 5, REPT("g", 10), (REPT("g", SUM(D15: H15) * 2)))</f>
        <v/>
      </c>
    </row>
    <row customHeight="1" ht="15.75" r="16" s="49" spans="1:10">
      <c r="A16" t="s">
        <v>27</v>
      </c>
      <c r="B16" s="34" t="s">
        <v>22</v>
      </c>
      <c r="C16" s="35" t="s">
        <v>20</v>
      </c>
      <c r="D16" s="36" t="n">
        <v>1</v>
      </c>
      <c r="E16" s="36" t="n">
        <v>1</v>
      </c>
      <c r="F16" s="36" t="n"/>
      <c r="G16" s="36" t="n"/>
      <c r="H16" s="37" t="n"/>
      <c r="J16" s="54">
        <f>IF(SUM(D16: H16) &gt; 5, REPT("g", 10), (REPT("g", SUM(D16: H16) * 2)))</f>
        <v/>
      </c>
    </row>
    <row customHeight="1" ht="15.75" r="17" s="49" spans="1:10">
      <c r="A17" s="29" t="s">
        <v>28</v>
      </c>
      <c r="B17" s="30" t="s">
        <v>29</v>
      </c>
      <c r="C17" s="27" t="s">
        <v>30</v>
      </c>
      <c r="D17" s="16" t="n"/>
      <c r="E17" s="16" t="n"/>
      <c r="F17" s="16" t="n"/>
      <c r="G17" s="16" t="n"/>
      <c r="H17" s="16" t="n"/>
      <c r="J17" s="54">
        <f>IF(SUM(D17: H17) &gt; 5, REPT("g", 10), (REPT("g", SUM(D17: H17) * 2)))</f>
        <v/>
      </c>
    </row>
    <row customHeight="1" ht="15.75" r="18" s="49" spans="1:10">
      <c r="A18" s="29" t="s">
        <v>31</v>
      </c>
      <c r="B18" s="30" t="n">
        <v>43994</v>
      </c>
      <c r="C18" s="26" t="s">
        <v>30</v>
      </c>
      <c r="D18" s="16" t="n"/>
      <c r="E18" s="16" t="n"/>
      <c r="F18" s="16" t="n"/>
      <c r="G18" s="16" t="n"/>
      <c r="H18" s="16" t="n"/>
      <c r="J18" s="54">
        <f>IF(SUM(D18: H18) &gt; 5, REPT("g", 10), (REPT("g", SUM(D18: H18) * 2)))</f>
        <v/>
      </c>
    </row>
    <row customHeight="1" ht="15.75" r="19" s="49" spans="1:10">
      <c r="A19" s="18" t="s">
        <v>32</v>
      </c>
      <c r="B19" s="30" t="n">
        <v>43992</v>
      </c>
      <c r="C19" s="26" t="s">
        <v>20</v>
      </c>
      <c r="D19" s="16" t="n">
        <v>1</v>
      </c>
      <c r="E19" s="16" t="n">
        <v>1</v>
      </c>
      <c r="F19" s="25" t="n"/>
      <c r="G19" s="25" t="n"/>
      <c r="H19" s="33" t="n">
        <v>2</v>
      </c>
      <c r="I19" s="4" t="n"/>
      <c r="J19" s="54">
        <f>IF(SUM(D19: H19) &gt; 5, REPT("g", 10), (REPT("g", SUM(D19: H19) * 2)))</f>
        <v/>
      </c>
    </row>
    <row customHeight="1" ht="15.75" r="20" s="49" spans="1:10">
      <c r="A20" s="18" t="s">
        <v>33</v>
      </c>
      <c r="B20" s="30" t="n">
        <v>43992</v>
      </c>
      <c r="C20" s="26" t="s">
        <v>20</v>
      </c>
      <c r="D20" s="16" t="n">
        <v>1</v>
      </c>
      <c r="E20" s="16" t="n">
        <v>1</v>
      </c>
      <c r="F20" s="25" t="n"/>
      <c r="G20" s="25" t="n"/>
      <c r="H20" s="25" t="n"/>
      <c r="I20" s="4" t="n"/>
      <c r="J20" s="54">
        <f>IF(SUM(D20: H20) &gt; 5, REPT("g", 10), (REPT("g", SUM(D20: H20) * 2)))</f>
        <v/>
      </c>
    </row>
    <row customHeight="1" ht="15.75" r="21" s="49" spans="1:10">
      <c r="A21" s="29" t="s">
        <v>34</v>
      </c>
      <c r="B21" s="30" t="n">
        <v>43991</v>
      </c>
      <c r="C21" s="26" t="s">
        <v>20</v>
      </c>
      <c r="D21" s="16" t="n">
        <v>1</v>
      </c>
      <c r="E21" s="16" t="n">
        <v>1</v>
      </c>
      <c r="F21" s="16" t="n">
        <v>1</v>
      </c>
      <c r="G21" s="16" t="n">
        <v>1</v>
      </c>
      <c r="H21" s="16" t="n">
        <v>1</v>
      </c>
      <c r="J21" s="54">
        <f>IF(SUM(D21: H21) &gt; 5, REPT("g", 10), (REPT("g", SUM(D21: H21) * 2)))</f>
        <v/>
      </c>
    </row>
    <row customHeight="1" ht="15.75" r="22" s="49" spans="1:10">
      <c r="A22" s="29" t="s">
        <v>35</v>
      </c>
      <c r="B22" s="30" t="n">
        <v>43991</v>
      </c>
      <c r="C22" s="26" t="s">
        <v>20</v>
      </c>
      <c r="D22" s="16" t="n">
        <v>1</v>
      </c>
      <c r="E22" s="16" t="n">
        <v>1</v>
      </c>
      <c r="F22" s="16" t="n">
        <v>1</v>
      </c>
      <c r="G22" s="16" t="n">
        <v>1</v>
      </c>
      <c r="H22" s="16" t="n">
        <v>1</v>
      </c>
      <c r="J22" s="54">
        <f>IF(SUM(D22: H22) &gt; 5, REPT("g", 10), (REPT("g", SUM(D22: H22) * 2)))</f>
        <v/>
      </c>
    </row>
    <row customHeight="1" ht="15.75" r="23" s="49" spans="1:10">
      <c r="A23" s="29" t="s">
        <v>36</v>
      </c>
      <c r="B23" s="30" t="n">
        <v>43991</v>
      </c>
      <c r="C23" s="26" t="s">
        <v>20</v>
      </c>
      <c r="D23" s="16" t="n">
        <v>1</v>
      </c>
      <c r="E23" s="16" t="n">
        <v>1</v>
      </c>
      <c r="F23" s="16" t="n">
        <v>1</v>
      </c>
      <c r="G23" s="16" t="n">
        <v>1</v>
      </c>
      <c r="H23" s="16" t="n">
        <v>1</v>
      </c>
      <c r="J23" s="54">
        <f>IF(SUM(D23: H23) &gt; 5, REPT("g", 10), (REPT("g", SUM(D23: H23) * 2)))</f>
        <v/>
      </c>
    </row>
    <row customHeight="1" ht="15.75" r="24" s="49" spans="1:10">
      <c r="A24" s="29" t="s">
        <v>37</v>
      </c>
      <c r="B24" s="30" t="n">
        <v>43991</v>
      </c>
      <c r="C24" s="26" t="s">
        <v>20</v>
      </c>
      <c r="D24" s="16" t="n">
        <v>1</v>
      </c>
      <c r="E24" s="16" t="n">
        <v>1</v>
      </c>
      <c r="F24" s="16" t="n">
        <v>1</v>
      </c>
      <c r="G24" s="16" t="n">
        <v>1</v>
      </c>
      <c r="H24" s="16" t="n">
        <v>1</v>
      </c>
      <c r="J24" s="54">
        <f>IF(SUM(D24: H24) &gt; 5, REPT("g", 10), (REPT("g", SUM(D24: H24) * 2)))</f>
        <v/>
      </c>
    </row>
    <row customHeight="1" ht="15.75" r="25" s="49" spans="1:10">
      <c r="A25" s="29" t="s">
        <v>38</v>
      </c>
      <c r="B25" s="30" t="n">
        <v>43987</v>
      </c>
      <c r="C25" s="26" t="s">
        <v>30</v>
      </c>
      <c r="D25" s="16" t="n">
        <v>1</v>
      </c>
      <c r="E25" s="16" t="n">
        <v>1</v>
      </c>
      <c r="F25" s="16" t="n"/>
      <c r="G25" s="16" t="n"/>
      <c r="H25" s="23" t="n">
        <v>2</v>
      </c>
      <c r="J25" s="54">
        <f>IF(SUM(D25: H25) &gt; 5, REPT("g", 10), (REPT("g", SUM(D25: H25) * 2)))</f>
        <v/>
      </c>
    </row>
    <row customHeight="1" ht="15.75" r="26" s="49" spans="1:10">
      <c r="A26" s="29" t="s">
        <v>39</v>
      </c>
      <c r="B26" s="30" t="n">
        <v>43985</v>
      </c>
      <c r="C26" s="26" t="s">
        <v>40</v>
      </c>
      <c r="D26" s="16" t="n">
        <v>1</v>
      </c>
      <c r="E26" s="16" t="n">
        <v>1</v>
      </c>
      <c r="F26" s="16" t="n">
        <v>1</v>
      </c>
      <c r="G26" s="16" t="n">
        <v>1</v>
      </c>
      <c r="H26" s="24" t="n">
        <v>1</v>
      </c>
      <c r="J26" s="54">
        <f>IF(SUM(D26: H26) &gt; 5, REPT("g", 10), (REPT("g", SUM(D26: H26) * 2)))</f>
        <v/>
      </c>
    </row>
    <row customHeight="1" ht="15.75" r="27" s="49" spans="1:10">
      <c r="A27" s="29" t="s">
        <v>41</v>
      </c>
      <c r="B27" s="30" t="n">
        <v>43986</v>
      </c>
      <c r="C27" s="26" t="s">
        <v>30</v>
      </c>
      <c r="D27" s="16" t="n">
        <v>1</v>
      </c>
      <c r="E27" s="16" t="n">
        <v>1</v>
      </c>
      <c r="F27" s="16" t="n"/>
      <c r="G27" s="16" t="n"/>
      <c r="H27" s="23" t="n">
        <v>2</v>
      </c>
      <c r="J27" s="54">
        <f>IF(SUM(D27: H27) &gt; 5, REPT("g", 10), (REPT("g", SUM(D27: H27) * 2)))</f>
        <v/>
      </c>
    </row>
    <row customHeight="1" ht="15.75" r="28" s="49" spans="1:10">
      <c r="A28" s="29" t="s">
        <v>42</v>
      </c>
      <c r="B28" s="30" t="s">
        <v>43</v>
      </c>
      <c r="C28" s="32" t="s">
        <v>40</v>
      </c>
      <c r="D28" s="31" t="n">
        <v>1</v>
      </c>
      <c r="E28" s="31" t="n">
        <v>1</v>
      </c>
      <c r="F28" s="31" t="n">
        <v>1</v>
      </c>
      <c r="G28" s="31" t="n">
        <v>1</v>
      </c>
      <c r="H28" s="31" t="n">
        <v>2</v>
      </c>
      <c r="I28" t="s">
        <v>44</v>
      </c>
      <c r="J28" s="54">
        <f>IF(SUM(D28: H28) &gt; 5, REPT("g", 10), (REPT("g", SUM(D28: H28) * 2)))</f>
        <v/>
      </c>
    </row>
    <row customHeight="1" ht="15.75" r="29" s="49" spans="1:10">
      <c r="A29" s="29" t="s">
        <v>45</v>
      </c>
      <c r="B29" s="30" t="s">
        <v>43</v>
      </c>
      <c r="C29" s="32" t="s">
        <v>30</v>
      </c>
      <c r="D29" s="16" t="n">
        <v>1</v>
      </c>
      <c r="E29" s="16" t="n">
        <v>1</v>
      </c>
      <c r="F29" s="16" t="n">
        <v>1</v>
      </c>
      <c r="G29" s="16" t="n">
        <v>1</v>
      </c>
      <c r="H29" s="16" t="n">
        <v>1</v>
      </c>
      <c r="J29" s="54">
        <f>IF(SUM(D29: H29) &gt; 5, REPT("g", 10), (REPT("g", SUM(D29: H29) * 2)))</f>
        <v/>
      </c>
    </row>
    <row customHeight="1" ht="15.75" r="30" s="49" spans="1:10">
      <c r="A30" s="29" t="s">
        <v>46</v>
      </c>
      <c r="B30" s="30" t="n">
        <v>43985</v>
      </c>
      <c r="C30" s="26" t="s">
        <v>30</v>
      </c>
      <c r="D30" s="16" t="n">
        <v>1</v>
      </c>
      <c r="E30" s="16" t="n">
        <v>1</v>
      </c>
      <c r="F30" s="16" t="n">
        <v>1</v>
      </c>
      <c r="G30" s="16" t="n">
        <v>1</v>
      </c>
      <c r="H30" s="16" t="n">
        <v>1</v>
      </c>
      <c r="J30" s="54">
        <f>IF(SUM(D30: H30) &gt; 5, REPT("g", 10), (REPT("g", SUM(D30: H30) * 2)))</f>
        <v/>
      </c>
    </row>
    <row customHeight="1" ht="15.75" r="31" s="49" spans="1:10">
      <c r="A31" s="29" t="s">
        <v>47</v>
      </c>
      <c r="B31" s="30" t="n">
        <v>43984</v>
      </c>
      <c r="C31" s="26" t="s">
        <v>30</v>
      </c>
      <c r="D31" s="16" t="n">
        <v>1</v>
      </c>
      <c r="E31" s="16" t="n">
        <v>1</v>
      </c>
      <c r="F31" s="16" t="n">
        <v>1</v>
      </c>
      <c r="G31" s="16" t="n">
        <v>1</v>
      </c>
      <c r="H31" s="23" t="n">
        <v>2</v>
      </c>
      <c r="J31" s="54">
        <f>IF(SUM(D31: H31) &gt; 5, REPT("g", 10), (REPT("g", SUM(D31: H31) * 2)))</f>
        <v/>
      </c>
    </row>
    <row customHeight="1" ht="15.75" r="32" s="49" spans="1:10">
      <c r="A32" s="29" t="s">
        <v>48</v>
      </c>
      <c r="B32" s="30" t="n">
        <v>43984</v>
      </c>
      <c r="C32" s="26" t="s">
        <v>30</v>
      </c>
      <c r="D32" s="16" t="n">
        <v>1</v>
      </c>
      <c r="E32" s="16" t="n">
        <v>1</v>
      </c>
      <c r="F32" s="16" t="n">
        <v>1</v>
      </c>
      <c r="G32" s="16" t="n">
        <v>1</v>
      </c>
      <c r="H32" s="16" t="n">
        <v>1</v>
      </c>
      <c r="J32" s="54">
        <f>IF(SUM(D32: H32) &gt; 5, REPT("g", 10), (REPT("g", SUM(D32: H32) * 2)))</f>
        <v/>
      </c>
    </row>
    <row customHeight="1" ht="15.75" r="33" s="49" spans="1:10">
      <c r="A33" s="29" t="s">
        <v>35</v>
      </c>
      <c r="B33" s="30" t="n">
        <v>43983</v>
      </c>
      <c r="C33" s="19" t="s">
        <v>20</v>
      </c>
      <c r="D33" s="16" t="n">
        <v>1</v>
      </c>
      <c r="E33" s="16" t="n">
        <v>1</v>
      </c>
      <c r="F33" s="16" t="n">
        <v>1</v>
      </c>
      <c r="G33" s="16" t="n">
        <v>1</v>
      </c>
      <c r="H33" s="23" t="n">
        <v>2</v>
      </c>
      <c r="J33" s="54">
        <f>IF(SUM(D33: H33) &gt; 5, REPT("g", 10), (REPT("g", SUM(D33: H33) * 2)))</f>
        <v/>
      </c>
    </row>
    <row customHeight="1" ht="15.75" r="34" s="49" spans="1:10">
      <c r="A34" s="29" t="s">
        <v>37</v>
      </c>
      <c r="B34" s="30" t="n">
        <v>43983</v>
      </c>
      <c r="C34" s="19" t="s">
        <v>20</v>
      </c>
      <c r="D34" s="16" t="n">
        <v>1</v>
      </c>
      <c r="E34" s="16" t="n">
        <v>1</v>
      </c>
      <c r="F34" s="16" t="n">
        <v>1</v>
      </c>
      <c r="G34" s="16" t="n">
        <v>1</v>
      </c>
      <c r="H34" s="16" t="n">
        <v>1</v>
      </c>
      <c r="J34" s="54">
        <f>IF(SUM(D34: H34) &gt; 5, REPT("g", 10), (REPT("g", SUM(D34: H34) * 2)))</f>
        <v/>
      </c>
    </row>
    <row customHeight="1" ht="15.75" r="35" s="49" spans="1:10">
      <c r="A35" s="29" t="s">
        <v>36</v>
      </c>
      <c r="B35" s="30" t="n">
        <v>43983</v>
      </c>
      <c r="C35" s="19" t="s">
        <v>20</v>
      </c>
      <c r="D35" s="16" t="n">
        <v>1</v>
      </c>
      <c r="E35" s="16" t="n">
        <v>1</v>
      </c>
      <c r="F35" s="16" t="n">
        <v>1</v>
      </c>
      <c r="G35" s="16" t="n">
        <v>1</v>
      </c>
      <c r="H35" s="16" t="n">
        <v>1</v>
      </c>
      <c r="J35" s="54">
        <f>IF(SUM(D35: H35) &gt; 5, REPT("g", 10), (REPT("g", SUM(D35: H35) * 2)))</f>
        <v/>
      </c>
    </row>
    <row customHeight="1" ht="15.75" r="36" s="49" spans="1:10">
      <c r="A36" s="29" t="s">
        <v>34</v>
      </c>
      <c r="B36" s="30" t="n">
        <v>43983</v>
      </c>
      <c r="C36" s="19" t="s">
        <v>20</v>
      </c>
      <c r="D36" s="16" t="n">
        <v>1</v>
      </c>
      <c r="E36" s="16" t="n">
        <v>1</v>
      </c>
      <c r="F36" s="16" t="n">
        <v>1</v>
      </c>
      <c r="G36" s="16" t="n">
        <v>1</v>
      </c>
      <c r="H36" s="16" t="n">
        <v>1</v>
      </c>
      <c r="J36" s="54">
        <f>IF(SUM(D36: H36) &gt; 5, REPT("g", 10), (REPT("g", SUM(D36: H36) * 2)))</f>
        <v/>
      </c>
    </row>
    <row customHeight="1" ht="15.75" r="37" s="49" spans="1:10">
      <c r="A37" s="29" t="s">
        <v>49</v>
      </c>
      <c r="B37" s="30" t="n">
        <v>43980</v>
      </c>
      <c r="C37" s="26" t="s">
        <v>30</v>
      </c>
      <c r="D37" s="16" t="n">
        <v>1</v>
      </c>
      <c r="E37" s="16" t="n">
        <v>1</v>
      </c>
      <c r="F37" s="16" t="n"/>
      <c r="G37" s="16" t="n"/>
      <c r="H37" s="23" t="n">
        <v>2</v>
      </c>
      <c r="J37" s="54">
        <f>IF(SUM(D37: H37) &gt; 5, REPT("g", 10), (REPT("g", SUM(D37: H37) * 2)))</f>
        <v/>
      </c>
    </row>
    <row customHeight="1" ht="15.75" r="38" s="49" spans="1:10">
      <c r="A38" s="29" t="s">
        <v>50</v>
      </c>
      <c r="B38" s="30" t="n">
        <v>43979</v>
      </c>
      <c r="C38" s="26" t="s">
        <v>30</v>
      </c>
      <c r="D38" s="16" t="n">
        <v>1</v>
      </c>
      <c r="E38" s="16" t="n">
        <v>1</v>
      </c>
      <c r="F38" s="16" t="n">
        <v>1</v>
      </c>
      <c r="G38" s="16" t="n">
        <v>1</v>
      </c>
      <c r="H38" s="16" t="n"/>
      <c r="J38" s="54">
        <f>IF(SUM(D38: H38) &gt; 5, REPT("g", 10), (REPT("g", SUM(D38: H38) * 2)))</f>
        <v/>
      </c>
    </row>
    <row customHeight="1" ht="15.75" r="39" s="49" spans="1:10">
      <c r="A39" s="29" t="s">
        <v>51</v>
      </c>
      <c r="B39" s="30" t="s">
        <v>52</v>
      </c>
      <c r="C39" s="32" t="s">
        <v>30</v>
      </c>
      <c r="D39" s="16" t="n">
        <v>1</v>
      </c>
      <c r="E39" s="16" t="n">
        <v>1</v>
      </c>
      <c r="F39" s="16" t="n">
        <v>1</v>
      </c>
      <c r="G39" s="16" t="n">
        <v>1</v>
      </c>
      <c r="H39" s="16" t="n">
        <v>1</v>
      </c>
      <c r="J39" s="54">
        <f>IF(SUM(D39: H39) &gt; 5, REPT("g", 10), (REPT("g", SUM(D39: H39) * 2)))</f>
        <v/>
      </c>
    </row>
    <row customHeight="1" ht="15.75" r="40" s="49" spans="1:10">
      <c r="A40" s="29" t="s">
        <v>53</v>
      </c>
      <c r="B40" s="30" t="n">
        <v>43978</v>
      </c>
      <c r="C40" s="26" t="s">
        <v>30</v>
      </c>
      <c r="D40" s="16" t="n">
        <v>1</v>
      </c>
      <c r="E40" s="16" t="n">
        <v>1</v>
      </c>
      <c r="F40" s="16" t="n">
        <v>1</v>
      </c>
      <c r="G40" s="16" t="n">
        <v>1</v>
      </c>
      <c r="H40" s="16" t="n">
        <v>1</v>
      </c>
      <c r="J40" s="54">
        <f>IF(SUM(D40: H40) &gt; 5, REPT("g", 10), (REPT("g", SUM(D40: H40) * 2)))</f>
        <v/>
      </c>
    </row>
    <row customHeight="1" ht="15.75" r="41" s="49" spans="1:10">
      <c r="A41" s="29" t="s">
        <v>54</v>
      </c>
      <c r="B41" s="30" t="n">
        <v>43977</v>
      </c>
      <c r="C41" s="26" t="s">
        <v>20</v>
      </c>
      <c r="D41" s="16" t="n">
        <v>1</v>
      </c>
      <c r="E41" s="16" t="n">
        <v>1</v>
      </c>
      <c r="F41" s="16" t="n">
        <v>1</v>
      </c>
      <c r="G41" s="16" t="n">
        <v>1</v>
      </c>
      <c r="H41" s="23" t="n">
        <v>2</v>
      </c>
      <c r="J41" s="54">
        <f>IF(SUM(D41: H41) &gt; 5, REPT("g", 10), (REPT("g", SUM(D41: H41) * 2)))</f>
        <v/>
      </c>
    </row>
    <row customHeight="1" ht="15.75" r="42" s="49" spans="1:10">
      <c r="A42" s="29" t="s">
        <v>55</v>
      </c>
      <c r="B42" s="30" t="n">
        <v>43977</v>
      </c>
      <c r="C42" s="26" t="s">
        <v>20</v>
      </c>
      <c r="D42" s="16" t="n">
        <v>1</v>
      </c>
      <c r="E42" s="16" t="n">
        <v>1</v>
      </c>
      <c r="F42" s="16" t="n">
        <v>1</v>
      </c>
      <c r="G42" s="16" t="n">
        <v>1</v>
      </c>
      <c r="H42" s="16" t="n">
        <v>1</v>
      </c>
      <c r="J42" s="54">
        <f>IF(SUM(D42: H42) &gt; 5, REPT("g", 10), (REPT("g", SUM(D42: H42) * 2)))</f>
        <v/>
      </c>
    </row>
    <row customHeight="1" ht="15.75" r="43" s="49" spans="1:10">
      <c r="A43" s="29" t="s">
        <v>56</v>
      </c>
      <c r="B43" s="30" t="n">
        <v>43976</v>
      </c>
      <c r="C43" s="26" t="s">
        <v>40</v>
      </c>
      <c r="D43" s="16" t="n">
        <v>1</v>
      </c>
      <c r="E43" s="16" t="n">
        <v>1</v>
      </c>
      <c r="F43" s="16" t="n">
        <v>1</v>
      </c>
      <c r="G43" s="16" t="n">
        <v>1</v>
      </c>
      <c r="H43" s="16" t="n">
        <v>1</v>
      </c>
      <c r="J43" s="54">
        <f>IF(SUM(D43: H43) &gt; 5, REPT("g", 10), (REPT("g", SUM(D43: H43) * 2)))</f>
        <v/>
      </c>
    </row>
    <row customHeight="1" ht="15.75" r="44" s="49" spans="1:10">
      <c r="A44" s="29" t="s">
        <v>57</v>
      </c>
      <c r="B44" s="30" t="n">
        <v>43976</v>
      </c>
      <c r="C44" s="26" t="s">
        <v>40</v>
      </c>
      <c r="D44" s="16" t="n">
        <v>1</v>
      </c>
      <c r="E44" s="16" t="n">
        <v>1</v>
      </c>
      <c r="F44" s="16" t="n">
        <v>1</v>
      </c>
      <c r="G44" s="16" t="n">
        <v>1</v>
      </c>
      <c r="H44" s="16" t="n">
        <v>1</v>
      </c>
      <c r="J44" s="54">
        <f>IF(SUM(D44: H44) &gt; 5, REPT("g", 10), (REPT("g", SUM(D44: H44) * 2)))</f>
        <v/>
      </c>
    </row>
    <row customHeight="1" ht="15.75" r="45" s="49" spans="1:10">
      <c r="A45" s="29" t="s">
        <v>58</v>
      </c>
      <c r="B45" s="30" t="n">
        <v>43976</v>
      </c>
      <c r="C45" s="26" t="s">
        <v>20</v>
      </c>
      <c r="D45" s="16" t="n">
        <v>1</v>
      </c>
      <c r="E45" s="16" t="n">
        <v>1</v>
      </c>
      <c r="F45" s="16" t="n">
        <v>1</v>
      </c>
      <c r="G45" s="16" t="n">
        <v>1</v>
      </c>
      <c r="H45" s="16" t="n">
        <v>1</v>
      </c>
      <c r="J45" s="54">
        <f>IF(SUM(D45: H45) &gt; 5, REPT("g", 10), (REPT("g", SUM(D45: H45) * 2)))</f>
        <v/>
      </c>
    </row>
    <row customHeight="1" ht="15.75" r="46" s="49" spans="1:10">
      <c r="A46" s="29" t="s">
        <v>59</v>
      </c>
      <c r="B46" s="30" t="n">
        <v>43971</v>
      </c>
      <c r="C46" s="26" t="s">
        <v>40</v>
      </c>
      <c r="D46" s="16" t="n">
        <v>1</v>
      </c>
      <c r="E46" s="16" t="n"/>
      <c r="F46" s="16" t="n"/>
      <c r="G46" s="16" t="n"/>
      <c r="H46" s="23" t="n">
        <v>2</v>
      </c>
      <c r="J46" s="54">
        <f>IF(SUM(D46: H46) &gt; 5, REPT("g", 10), (REPT("g", SUM(D46: H46) * 2)))</f>
        <v/>
      </c>
    </row>
    <row customHeight="1" ht="15.75" r="47" s="49" spans="1:10">
      <c r="A47" s="18" t="s">
        <v>60</v>
      </c>
      <c r="B47" s="30" t="n">
        <v>43971</v>
      </c>
      <c r="C47" s="26" t="s">
        <v>30</v>
      </c>
      <c r="D47" s="16" t="n">
        <v>1</v>
      </c>
      <c r="E47" s="16" t="n">
        <v>1</v>
      </c>
      <c r="F47" s="16" t="n">
        <v>1</v>
      </c>
      <c r="G47" s="16" t="n">
        <v>1</v>
      </c>
      <c r="H47" s="16" t="n"/>
      <c r="J47" s="54">
        <f>IF(SUM(D47: H47) &gt; 5, REPT("g", 10), (REPT("g", SUM(D47: H47) * 2)))</f>
        <v/>
      </c>
    </row>
    <row customHeight="1" ht="15.75" r="48" s="49" spans="1:10">
      <c r="A48" s="18" t="s">
        <v>32</v>
      </c>
      <c r="B48" s="30" t="n">
        <v>43970</v>
      </c>
      <c r="C48" s="30" t="s">
        <v>20</v>
      </c>
      <c r="D48" s="16" t="n">
        <v>1</v>
      </c>
      <c r="E48" s="16" t="n">
        <v>1</v>
      </c>
      <c r="F48" s="16" t="n">
        <v>1</v>
      </c>
      <c r="G48" s="16" t="n">
        <v>1</v>
      </c>
      <c r="H48" s="16" t="n"/>
      <c r="J48" s="54">
        <f>IF(SUM(D48: H48) &gt; 5, REPT("g", 10), (REPT("g", SUM(D48: H48) * 2)))</f>
        <v/>
      </c>
    </row>
    <row customHeight="1" ht="15.75" r="49" s="49" spans="1:10">
      <c r="A49" s="18" t="s">
        <v>33</v>
      </c>
      <c r="B49" s="30" t="n">
        <v>43970</v>
      </c>
      <c r="C49" s="30" t="s">
        <v>20</v>
      </c>
      <c r="D49" s="16" t="n">
        <v>1</v>
      </c>
      <c r="E49" s="16" t="n">
        <v>1</v>
      </c>
      <c r="F49" s="16" t="n">
        <v>1</v>
      </c>
      <c r="G49" s="16" t="n">
        <v>1</v>
      </c>
      <c r="H49" s="16" t="n">
        <v>1</v>
      </c>
      <c r="J49" s="54">
        <f>IF(SUM(D49: H49) &gt; 5, REPT("g", 10), (REPT("g", SUM(D49: H49) * 2)))</f>
        <v/>
      </c>
    </row>
    <row customHeight="1" ht="15.75" r="50" s="49" spans="1:10">
      <c r="A50" s="29" t="s">
        <v>61</v>
      </c>
      <c r="B50" s="30" t="n">
        <v>43969</v>
      </c>
      <c r="C50" s="30" t="s">
        <v>40</v>
      </c>
      <c r="D50" s="16" t="n">
        <v>1</v>
      </c>
      <c r="E50" s="16" t="n">
        <v>1</v>
      </c>
      <c r="F50" s="16" t="n">
        <v>1</v>
      </c>
      <c r="G50" s="16" t="n">
        <v>1</v>
      </c>
      <c r="H50" s="16" t="n">
        <v>1</v>
      </c>
      <c r="J50" s="54">
        <f>IF(SUM(D50: H50) &gt; 5, REPT("g", 10), (REPT("g", SUM(D50: H50) * 2)))</f>
        <v/>
      </c>
    </row>
    <row customHeight="1" ht="15.75" r="51" s="49" spans="1:10">
      <c r="A51" s="29" t="s">
        <v>62</v>
      </c>
      <c r="B51" s="30" t="n">
        <v>43966</v>
      </c>
      <c r="C51" s="30" t="s">
        <v>30</v>
      </c>
      <c r="D51" s="16" t="n">
        <v>1</v>
      </c>
      <c r="E51" s="16" t="n">
        <v>1</v>
      </c>
      <c r="F51" s="16" t="n"/>
      <c r="G51" s="16" t="n"/>
      <c r="H51" s="23" t="n">
        <v>2</v>
      </c>
      <c r="J51" s="54">
        <f>IF(SUM(D51: H51) &gt; 5, REPT("g", 10), (REPT("g", SUM(D51: H51) * 2)))</f>
        <v/>
      </c>
    </row>
    <row customHeight="1" ht="15.75" r="52" s="49" spans="1:10">
      <c r="A52" s="18" t="s">
        <v>63</v>
      </c>
      <c r="B52" s="30" t="n">
        <v>43965</v>
      </c>
      <c r="C52" s="30" t="s">
        <v>64</v>
      </c>
      <c r="D52" s="16" t="n">
        <v>1</v>
      </c>
      <c r="E52" s="16" t="n">
        <v>1</v>
      </c>
      <c r="F52" s="16" t="n">
        <v>1</v>
      </c>
      <c r="G52" s="16" t="n">
        <v>1</v>
      </c>
      <c r="H52" s="16" t="n"/>
      <c r="J52" s="54">
        <f>IF(SUM(D52: H52) &gt; 5, REPT("g", 10), (REPT("g", SUM(D52: H52) * 2)))</f>
        <v/>
      </c>
    </row>
    <row customHeight="1" ht="15.75" r="53" s="49" spans="1:10">
      <c r="A53" s="29" t="s">
        <v>65</v>
      </c>
      <c r="B53" s="30" t="n">
        <v>43964</v>
      </c>
      <c r="C53" s="30" t="s">
        <v>20</v>
      </c>
      <c r="D53" s="16" t="n">
        <v>1</v>
      </c>
      <c r="E53" s="16" t="n">
        <v>1</v>
      </c>
      <c r="F53" s="16" t="n">
        <v>1</v>
      </c>
      <c r="G53" s="16" t="n">
        <v>1</v>
      </c>
      <c r="H53" s="16" t="n">
        <v>1</v>
      </c>
      <c r="J53" s="54">
        <f>IF(SUM(D53: H53) &gt; 5, REPT("g", 10), (REPT("g", SUM(D53: H53) * 2)))</f>
        <v/>
      </c>
    </row>
    <row customHeight="1" ht="15.75" r="54" s="49" spans="1:10">
      <c r="A54" s="29" t="s">
        <v>66</v>
      </c>
      <c r="B54" s="30" t="n">
        <v>43963</v>
      </c>
      <c r="C54" s="30" t="s">
        <v>40</v>
      </c>
      <c r="D54" s="16" t="n">
        <v>1</v>
      </c>
      <c r="E54" s="16" t="n">
        <v>1</v>
      </c>
      <c r="F54" s="16" t="n">
        <v>1</v>
      </c>
      <c r="G54" s="16" t="n">
        <v>1</v>
      </c>
      <c r="H54" s="16" t="n">
        <v>1</v>
      </c>
      <c r="J54" s="54">
        <f>IF(SUM(D54: H54) &gt; 5, REPT("g", 10), (REPT("g", SUM(D54: H54) * 2)))</f>
        <v/>
      </c>
    </row>
    <row customHeight="1" ht="15.75" r="55" s="49" spans="1:10">
      <c r="A55" s="29" t="s">
        <v>67</v>
      </c>
      <c r="B55" s="30" t="n">
        <v>43962</v>
      </c>
      <c r="C55" s="30" t="s">
        <v>20</v>
      </c>
      <c r="D55" s="16" t="n">
        <v>1</v>
      </c>
      <c r="E55" s="16" t="n">
        <v>1</v>
      </c>
      <c r="F55" s="16" t="n">
        <v>1</v>
      </c>
      <c r="G55" s="16" t="n">
        <v>1</v>
      </c>
      <c r="H55" s="16" t="n">
        <v>1</v>
      </c>
      <c r="J55" s="54">
        <f>IF(SUM(D55: H55) &gt; 5, REPT("g", 10), (REPT("g", SUM(D55: H55) * 2)))</f>
        <v/>
      </c>
    </row>
    <row customHeight="1" ht="15.75" r="56" s="49" spans="1:10">
      <c r="A56" s="29" t="s">
        <v>68</v>
      </c>
      <c r="B56" s="30" t="n">
        <v>43959</v>
      </c>
      <c r="C56" s="30" t="s">
        <v>30</v>
      </c>
      <c r="D56" s="16" t="n">
        <v>1</v>
      </c>
      <c r="E56" s="16" t="n">
        <v>1</v>
      </c>
      <c r="F56" s="16" t="n"/>
      <c r="G56" s="16" t="n"/>
      <c r="H56" s="16" t="n"/>
      <c r="J56" s="54">
        <f>IF(SUM(D56: H56) &gt; 5, REPT("g", 10), (REPT("g", SUM(D56: H56) * 2)))</f>
        <v/>
      </c>
    </row>
    <row customHeight="1" ht="15.75" r="57" s="49" spans="1:10">
      <c r="A57" s="29" t="s">
        <v>46</v>
      </c>
      <c r="B57" s="30" t="n">
        <v>43957</v>
      </c>
      <c r="C57" s="30" t="s">
        <v>30</v>
      </c>
      <c r="D57" s="16" t="n">
        <v>1</v>
      </c>
      <c r="E57" s="16" t="n">
        <v>1</v>
      </c>
      <c r="F57" s="16" t="n">
        <v>1</v>
      </c>
      <c r="G57" s="16" t="n">
        <v>1</v>
      </c>
      <c r="H57" s="16" t="n"/>
      <c r="J57" s="54">
        <f>IF(SUM(D57: H57) &gt; 5, REPT("g", 10), (REPT("g", SUM(D57: H57) * 2)))</f>
        <v/>
      </c>
    </row>
    <row customHeight="1" ht="15.75" r="58" s="49" spans="1:10">
      <c r="A58" s="29" t="s">
        <v>69</v>
      </c>
      <c r="B58" s="30" t="n">
        <v>43956</v>
      </c>
      <c r="C58" s="30" t="s">
        <v>40</v>
      </c>
      <c r="D58" s="16" t="n">
        <v>1</v>
      </c>
      <c r="E58" s="16" t="n">
        <v>1</v>
      </c>
      <c r="F58" s="16" t="n">
        <v>1</v>
      </c>
      <c r="G58" s="16" t="n">
        <v>1</v>
      </c>
      <c r="H58" s="16" t="n"/>
      <c r="J58" s="54">
        <f>IF(SUM(D58: H58) &gt; 5, REPT("g", 10), (REPT("g", SUM(D58: H58) * 2)))</f>
        <v/>
      </c>
    </row>
    <row customHeight="1" ht="15.75" r="59" s="49" spans="1:10">
      <c r="A59" s="29" t="s">
        <v>70</v>
      </c>
      <c r="B59" s="30" t="n">
        <v>43956</v>
      </c>
      <c r="C59" s="30" t="s">
        <v>71</v>
      </c>
      <c r="D59" s="16" t="n"/>
      <c r="E59" s="16" t="n"/>
      <c r="F59" s="16" t="n"/>
      <c r="G59" s="16" t="n"/>
      <c r="H59" s="16" t="n"/>
      <c r="J59" s="54">
        <f>IF(SUM(D59: H59) &gt; 5, REPT("g", 10), (REPT("g", SUM(D59: H59) * 2)))</f>
        <v/>
      </c>
    </row>
    <row customHeight="1" ht="15.75" r="60" s="49" spans="1:10">
      <c r="A60" s="29" t="s">
        <v>61</v>
      </c>
      <c r="B60" s="30" t="n">
        <v>43955</v>
      </c>
      <c r="C60" s="30" t="s">
        <v>20</v>
      </c>
      <c r="D60" s="16" t="n">
        <v>1</v>
      </c>
      <c r="E60" s="16" t="n">
        <v>1</v>
      </c>
      <c r="F60" s="16" t="n">
        <v>1</v>
      </c>
      <c r="G60" s="16" t="n">
        <v>1</v>
      </c>
      <c r="H60" s="16" t="n"/>
      <c r="J60" s="54">
        <f>IF(SUM(D60: H60) &gt; 5, REPT("g", 10), (REPT("g", SUM(D60: H60) * 2)))</f>
        <v/>
      </c>
    </row>
    <row customHeight="1" ht="15.75" r="61" s="49" spans="1:10">
      <c r="A61" s="29" t="s">
        <v>72</v>
      </c>
      <c r="B61" s="30" t="n">
        <v>43952</v>
      </c>
      <c r="C61" s="30" t="s">
        <v>30</v>
      </c>
      <c r="D61" s="16" t="n">
        <v>1</v>
      </c>
      <c r="E61" s="16" t="n">
        <v>1</v>
      </c>
      <c r="F61" s="16" t="n">
        <v>1</v>
      </c>
      <c r="G61" s="16" t="n">
        <v>1</v>
      </c>
      <c r="H61" s="23" t="n">
        <v>2</v>
      </c>
      <c r="I61" t="s">
        <v>73</v>
      </c>
      <c r="J61" s="54">
        <f>IF(SUM(D61: H61) &gt; 5, REPT("g", 10), (REPT("g", SUM(D61: H61) * 2)))</f>
        <v/>
      </c>
    </row>
    <row customHeight="1" ht="15.75" r="62" s="49" spans="1:10">
      <c r="A62" s="29" t="s">
        <v>74</v>
      </c>
      <c r="B62" s="30" t="n">
        <v>43953</v>
      </c>
      <c r="C62" s="30" t="s">
        <v>30</v>
      </c>
      <c r="D62" s="16" t="n">
        <v>1</v>
      </c>
      <c r="E62" s="16" t="n">
        <v>1</v>
      </c>
      <c r="F62" s="16" t="n">
        <v>1</v>
      </c>
      <c r="G62" s="16" t="n">
        <v>1</v>
      </c>
      <c r="H62" s="23" t="n">
        <v>2</v>
      </c>
      <c r="I62" t="s">
        <v>73</v>
      </c>
      <c r="J62" s="54">
        <f>IF(SUM(D62: H62) &gt; 5, REPT("g", 10), (REPT("g", SUM(D62: H62) * 2)))</f>
        <v/>
      </c>
    </row>
    <row customHeight="1" ht="15.75" r="63" s="49" spans="1:10">
      <c r="A63" s="29" t="s">
        <v>53</v>
      </c>
      <c r="B63" s="30" t="n">
        <v>43950</v>
      </c>
      <c r="C63" s="30" t="n"/>
      <c r="D63" s="16" t="n">
        <v>1</v>
      </c>
      <c r="E63" s="16" t="n">
        <v>1</v>
      </c>
      <c r="F63" s="16" t="n">
        <v>1</v>
      </c>
      <c r="G63" s="16" t="n">
        <v>1</v>
      </c>
      <c r="H63" s="16" t="n">
        <v>1</v>
      </c>
      <c r="J63" s="54">
        <f>IF(SUM(D63: H63) &gt; 5, REPT("g", 10), (REPT("g", SUM(D63: H63) * 2)))</f>
        <v/>
      </c>
    </row>
    <row customHeight="1" ht="15.75" r="64" s="49" spans="1:10">
      <c r="A64" s="29" t="s">
        <v>51</v>
      </c>
      <c r="B64" s="30" t="n">
        <v>43950</v>
      </c>
      <c r="C64" s="30" t="n"/>
      <c r="D64" s="16" t="n">
        <v>1</v>
      </c>
      <c r="E64" s="16" t="n">
        <v>1</v>
      </c>
      <c r="F64" s="16" t="n">
        <v>1</v>
      </c>
      <c r="G64" s="16" t="n">
        <v>1</v>
      </c>
      <c r="H64" s="16" t="n"/>
      <c r="J64" s="54">
        <f>IF(SUM(D64: H64) &gt; 5, REPT("g", 10), (REPT("g", SUM(D64: H64) * 2)))</f>
        <v/>
      </c>
    </row>
    <row customHeight="1" ht="15.75" r="65" s="49" spans="1:10">
      <c r="A65" s="29" t="s">
        <v>66</v>
      </c>
      <c r="B65" s="30" t="n">
        <v>43949</v>
      </c>
      <c r="C65" s="30" t="n"/>
      <c r="D65" s="16" t="n">
        <v>1</v>
      </c>
      <c r="E65" s="16" t="n">
        <v>1</v>
      </c>
      <c r="F65" s="16" t="n">
        <v>1</v>
      </c>
      <c r="G65" s="16" t="n">
        <v>1</v>
      </c>
      <c r="H65" s="16" t="n"/>
      <c r="J65" s="54">
        <f>IF(SUM(D65: H65) &gt; 5, REPT("g", 10), (REPT("g", SUM(D65: H65) * 2)))</f>
        <v/>
      </c>
    </row>
    <row customHeight="1" ht="15.75" r="66" s="49" spans="1:10">
      <c r="A66" s="29" t="s">
        <v>75</v>
      </c>
      <c r="B66" s="30" t="n">
        <v>43949</v>
      </c>
      <c r="C66" s="30" t="n"/>
      <c r="D66" s="16" t="n">
        <v>1</v>
      </c>
      <c r="E66" s="16" t="n">
        <v>1</v>
      </c>
      <c r="F66" s="16" t="n">
        <v>1</v>
      </c>
      <c r="G66" s="16" t="n">
        <v>1</v>
      </c>
      <c r="H66" s="16" t="n"/>
      <c r="J66" s="54">
        <f>IF(SUM(D66: H66) &gt; 5, REPT("g", 10), (REPT("g", SUM(D66: H66) * 2)))</f>
        <v/>
      </c>
    </row>
    <row customHeight="1" ht="15.75" r="67" s="49" spans="1:10">
      <c r="A67" s="29" t="s">
        <v>61</v>
      </c>
      <c r="B67" s="30" t="n">
        <v>43948</v>
      </c>
      <c r="C67" s="30" t="n"/>
      <c r="D67" s="16" t="n">
        <v>1</v>
      </c>
      <c r="E67" s="16" t="n">
        <v>1</v>
      </c>
      <c r="F67" s="16" t="n">
        <v>1</v>
      </c>
      <c r="G67" s="16" t="n">
        <v>1</v>
      </c>
      <c r="H67" s="16" t="n"/>
      <c r="J67" s="54">
        <f>IF(SUM(D67: H67) &gt; 5, REPT("g", 10), (REPT("g", SUM(D67: H67) * 2)))</f>
        <v/>
      </c>
    </row>
    <row customHeight="1" ht="15.75" r="68" s="49" spans="1:10">
      <c r="A68" s="29" t="s">
        <v>76</v>
      </c>
      <c r="B68" s="30" t="n">
        <v>43945</v>
      </c>
      <c r="C68" s="30" t="n"/>
      <c r="D68" s="16" t="n">
        <v>1</v>
      </c>
      <c r="E68" s="16" t="n">
        <v>1</v>
      </c>
      <c r="F68" s="16" t="n"/>
      <c r="G68" s="16" t="n"/>
      <c r="H68" s="16" t="n"/>
      <c r="J68" s="54">
        <f>IF(SUM(D68: H68) &gt; 5, REPT("g", 10), (REPT("g", SUM(D68: H68) * 2)))</f>
        <v/>
      </c>
    </row>
    <row customHeight="1" ht="15.75" r="69" s="49" spans="1:10">
      <c r="A69" s="29" t="s">
        <v>77</v>
      </c>
      <c r="B69" s="30" t="n">
        <v>43945</v>
      </c>
      <c r="C69" s="30" t="n"/>
      <c r="D69" s="16" t="n"/>
      <c r="E69" s="16" t="n"/>
      <c r="F69" s="16" t="n"/>
      <c r="G69" s="16" t="n"/>
      <c r="H69" s="23" t="n">
        <v>2</v>
      </c>
      <c r="J69" s="54">
        <f>IF(SUM(D69: H69) &gt; 5, REPT("g", 10), (REPT("g", SUM(D69: H69) * 2)))</f>
        <v/>
      </c>
    </row>
    <row customHeight="1" ht="15.75" r="70" s="49" spans="1:10">
      <c r="A70" s="29" t="s">
        <v>78</v>
      </c>
      <c r="B70" s="30" t="n">
        <v>43944</v>
      </c>
      <c r="C70" s="30" t="n"/>
      <c r="D70" s="16" t="n">
        <v>1</v>
      </c>
      <c r="E70" s="16" t="n">
        <v>1</v>
      </c>
      <c r="F70" s="16" t="n">
        <v>1</v>
      </c>
      <c r="G70" s="16" t="n">
        <v>1</v>
      </c>
      <c r="H70" s="23" t="n">
        <v>2</v>
      </c>
      <c r="I70" t="s">
        <v>73</v>
      </c>
      <c r="J70" s="54">
        <f>IF(SUM(D70: H70) &gt; 5, REPT("g", 10), (REPT("g", SUM(D70: H70) * 2)))</f>
        <v/>
      </c>
    </row>
    <row customHeight="1" ht="15.75" r="71" s="49" spans="1:10">
      <c r="A71" s="29" t="s">
        <v>45</v>
      </c>
      <c r="B71" s="30" t="n">
        <v>43943</v>
      </c>
      <c r="C71" s="30" t="n"/>
      <c r="D71" s="16" t="n">
        <v>1</v>
      </c>
      <c r="E71" s="16" t="n">
        <v>1</v>
      </c>
      <c r="F71" s="16" t="n">
        <v>1</v>
      </c>
      <c r="G71" s="16" t="n">
        <v>1</v>
      </c>
      <c r="H71" s="16" t="n"/>
      <c r="J71" s="54">
        <f>IF(SUM(D71: H71) &gt; 5, REPT("g", 10), (REPT("g", SUM(D71: H71) * 2)))</f>
        <v/>
      </c>
    </row>
    <row customHeight="1" ht="15.75" r="72" s="49" spans="1:10">
      <c r="A72" s="29" t="s">
        <v>79</v>
      </c>
      <c r="B72" s="30" t="n">
        <v>43943</v>
      </c>
      <c r="C72" s="30" t="n"/>
      <c r="D72" s="16" t="n">
        <v>1</v>
      </c>
      <c r="E72" s="16" t="n"/>
      <c r="F72" s="16" t="n"/>
      <c r="G72" s="16" t="n"/>
      <c r="H72" s="16" t="n"/>
      <c r="J72" s="54">
        <f>IF(SUM(D72: H72) &gt; 5, REPT("g", 10), (REPT("g", SUM(D72: H72) * 2)))</f>
        <v/>
      </c>
    </row>
    <row customHeight="1" ht="15.75" r="73" s="49" spans="1:10">
      <c r="A73" s="29" t="s">
        <v>80</v>
      </c>
      <c r="B73" s="30" t="n">
        <v>43942</v>
      </c>
      <c r="C73" s="30" t="n"/>
      <c r="D73" s="16" t="n">
        <v>1</v>
      </c>
      <c r="E73" s="16" t="n">
        <v>1</v>
      </c>
      <c r="F73" s="16" t="n">
        <v>1</v>
      </c>
      <c r="G73" s="16" t="n">
        <v>1</v>
      </c>
      <c r="H73" s="16" t="n"/>
      <c r="J73" s="54">
        <f>IF(SUM(D73: H73) &gt; 5, REPT("g", 10), (REPT("g", SUM(D73: H73) * 2)))</f>
        <v/>
      </c>
    </row>
    <row customHeight="1" ht="15.75" r="74" s="49" spans="1:10">
      <c r="A74" s="29" t="s">
        <v>66</v>
      </c>
      <c r="B74" s="30" t="n">
        <v>43942</v>
      </c>
      <c r="C74" s="30" t="n"/>
      <c r="D74" s="16" t="n">
        <v>1</v>
      </c>
      <c r="E74" s="16" t="n">
        <v>1</v>
      </c>
      <c r="F74" s="16" t="n">
        <v>1</v>
      </c>
      <c r="G74" s="16" t="n">
        <v>1</v>
      </c>
      <c r="H74" s="16" t="n"/>
      <c r="J74" s="54">
        <f>IF(SUM(D74: H74) &gt; 5, REPT("g", 10), (REPT("g", SUM(D74: H74) * 2)))</f>
        <v/>
      </c>
    </row>
    <row customHeight="1" ht="15.75" r="75" s="49" spans="1:10">
      <c r="A75" t="s">
        <v>81</v>
      </c>
      <c r="B75" s="30" t="n">
        <v>43941</v>
      </c>
      <c r="C75" s="30" t="n"/>
      <c r="D75" s="16" t="n">
        <v>1</v>
      </c>
      <c r="E75" s="16" t="n">
        <v>1</v>
      </c>
      <c r="F75" s="16" t="n">
        <v>1</v>
      </c>
      <c r="G75" s="16" t="n">
        <v>1</v>
      </c>
      <c r="H75" s="23" t="n">
        <v>2</v>
      </c>
      <c r="J75" s="54">
        <f>IF(SUM(D75: H75) &gt; 5, REPT("g", 10), (REPT("g", SUM(D75: H75) * 2)))</f>
        <v/>
      </c>
    </row>
    <row customHeight="1" ht="15.75" r="76" s="49" spans="1:10">
      <c r="A76" s="29" t="s">
        <v>61</v>
      </c>
      <c r="B76" s="30" t="n">
        <v>43941</v>
      </c>
      <c r="C76" s="30" t="n"/>
      <c r="D76" s="16" t="n">
        <v>1</v>
      </c>
      <c r="E76" s="16" t="n">
        <v>1</v>
      </c>
      <c r="F76" s="16" t="n">
        <v>1</v>
      </c>
      <c r="G76" s="16" t="n">
        <v>1</v>
      </c>
      <c r="H76" s="16" t="n"/>
      <c r="J76" s="54">
        <f>IF(SUM(D76: H76) &gt; 5, REPT("g", 10), (REPT("g", SUM(D76: H76) * 2)))</f>
        <v/>
      </c>
    </row>
    <row customHeight="1" ht="15.75" r="77" s="49" spans="1:10">
      <c r="A77" s="29" t="s">
        <v>47</v>
      </c>
      <c r="B77" s="30" t="n">
        <v>43938</v>
      </c>
      <c r="C77" s="30" t="n"/>
      <c r="D77" s="16" t="n">
        <v>1</v>
      </c>
      <c r="E77" s="16" t="n">
        <v>1</v>
      </c>
      <c r="F77" s="16" t="n">
        <v>1</v>
      </c>
      <c r="G77" s="16" t="n">
        <v>1</v>
      </c>
      <c r="H77" s="16" t="n"/>
      <c r="J77" s="54">
        <f>IF(SUM(D77: H77) &gt; 5, REPT("g", 10), (REPT("g", SUM(D77: H77) * 2)))</f>
        <v/>
      </c>
    </row>
    <row customHeight="1" ht="15.75" r="78" s="49" spans="1:10">
      <c r="A78" s="29" t="s">
        <v>82</v>
      </c>
      <c r="B78" s="30" t="n">
        <v>43938</v>
      </c>
      <c r="C78" s="30" t="n"/>
      <c r="D78" s="16" t="n">
        <v>1</v>
      </c>
      <c r="E78" s="16" t="n">
        <v>1</v>
      </c>
      <c r="F78" s="16" t="n">
        <v>1</v>
      </c>
      <c r="G78" s="16" t="n">
        <v>1</v>
      </c>
      <c r="H78" s="16" t="n"/>
      <c r="J78" s="54">
        <f>IF(SUM(D78: H78) &gt; 5, REPT("g", 10), (REPT("g", SUM(D78: H78) * 2)))</f>
        <v/>
      </c>
    </row>
    <row customHeight="1" ht="15.75" r="79" s="49" spans="1:10">
      <c r="A79" s="29" t="s">
        <v>83</v>
      </c>
      <c r="B79" s="30" t="n">
        <v>43937</v>
      </c>
      <c r="C79" s="30" t="n"/>
      <c r="D79" s="16" t="n">
        <v>1</v>
      </c>
      <c r="E79" s="16" t="n"/>
      <c r="F79" s="16" t="n"/>
      <c r="G79" s="16" t="n"/>
      <c r="H79" s="23" t="n">
        <v>2</v>
      </c>
      <c r="J79" s="54">
        <f>IF(SUM(D79: H79) &gt; 5, REPT("g", 10), (REPT("g", SUM(D79: H79) * 2)))</f>
        <v/>
      </c>
    </row>
    <row customHeight="1" ht="15.75" r="80" s="49" spans="1:10">
      <c r="A80" s="29" t="s">
        <v>66</v>
      </c>
      <c r="B80" s="30" t="n">
        <v>43936</v>
      </c>
      <c r="C80" s="30" t="n"/>
      <c r="D80" s="16" t="n">
        <v>1</v>
      </c>
      <c r="E80" s="16" t="n">
        <v>1</v>
      </c>
      <c r="F80" s="16" t="n">
        <v>1</v>
      </c>
      <c r="G80" s="16" t="n">
        <v>1</v>
      </c>
      <c r="H80" s="16" t="n"/>
      <c r="J80" s="54">
        <f>IF(SUM(D80: H80) &gt; 5, REPT("g", 10), (REPT("g", SUM(D80: H80) * 2)))</f>
        <v/>
      </c>
    </row>
    <row customHeight="1" ht="15.75" r="81" s="49" spans="1:10">
      <c r="A81" s="29" t="s">
        <v>84</v>
      </c>
      <c r="B81" s="30" t="n">
        <v>43935</v>
      </c>
      <c r="C81" s="30" t="n"/>
      <c r="D81" s="16" t="n">
        <v>1</v>
      </c>
      <c r="E81" s="16" t="n">
        <v>1</v>
      </c>
      <c r="F81" s="16" t="n">
        <v>1</v>
      </c>
      <c r="G81" s="16" t="n">
        <v>1</v>
      </c>
      <c r="H81" s="16" t="n"/>
      <c r="J81" s="54">
        <f>IF(SUM(D81: H81) &gt; 5, REPT("g", 10), (REPT("g", SUM(D81: H81) * 2)))</f>
        <v/>
      </c>
    </row>
    <row customHeight="1" ht="15.75" r="82" s="49" spans="1:10">
      <c r="A82" s="29" t="s">
        <v>85</v>
      </c>
      <c r="B82" s="30" t="n">
        <v>43930</v>
      </c>
      <c r="C82" s="30" t="n"/>
      <c r="D82" s="16" t="n">
        <v>1</v>
      </c>
      <c r="E82" s="16" t="n">
        <v>1</v>
      </c>
      <c r="F82" s="16" t="n">
        <v>1</v>
      </c>
      <c r="G82" s="16" t="n">
        <v>1</v>
      </c>
      <c r="H82" s="16" t="n">
        <v>1</v>
      </c>
      <c r="J82" s="54">
        <f>IF(SUM(D82: H82) &gt; 5, REPT("g", 10), (REPT("g", SUM(D82: H82) * 2)))</f>
        <v/>
      </c>
    </row>
    <row customHeight="1" ht="15.75" r="83" s="49" spans="1:10">
      <c r="A83" s="29" t="s">
        <v>46</v>
      </c>
      <c r="B83" s="30" t="n">
        <v>43929</v>
      </c>
      <c r="C83" s="30" t="n"/>
      <c r="D83" s="16" t="n">
        <v>1</v>
      </c>
      <c r="E83" s="16" t="n">
        <v>1</v>
      </c>
      <c r="F83" s="16" t="n">
        <v>1</v>
      </c>
      <c r="G83" s="16" t="n">
        <v>1</v>
      </c>
      <c r="H83" s="16" t="n"/>
      <c r="J83" s="54">
        <f>IF(SUM(D83: H83) &gt; 5, REPT("g", 10), (REPT("g", SUM(D83: H83) * 2)))</f>
        <v/>
      </c>
    </row>
    <row customHeight="1" ht="15.75" r="84" s="49" spans="1:10">
      <c r="A84" s="29" t="s">
        <v>86</v>
      </c>
      <c r="B84" s="30" t="n">
        <v>43928</v>
      </c>
      <c r="C84" s="30" t="n"/>
      <c r="D84" s="16" t="n">
        <v>1</v>
      </c>
      <c r="E84" s="16" t="n">
        <v>1</v>
      </c>
      <c r="F84" s="16" t="n">
        <v>1</v>
      </c>
      <c r="G84" s="16" t="n">
        <v>1</v>
      </c>
      <c r="H84" s="16" t="n"/>
      <c r="J84" s="54">
        <f>IF(SUM(D84: H84) &gt; 5, REPT("g", 10), (REPT("g", SUM(D84: H84) * 2)))</f>
        <v/>
      </c>
    </row>
    <row customHeight="1" ht="15.75" r="85" s="49" spans="1:10">
      <c r="A85" s="29" t="s">
        <v>61</v>
      </c>
      <c r="B85" s="30" t="n">
        <v>43927</v>
      </c>
      <c r="C85" s="30" t="n"/>
      <c r="D85" s="16" t="n">
        <v>1</v>
      </c>
      <c r="E85" s="16" t="n">
        <v>1</v>
      </c>
      <c r="F85" s="16" t="n">
        <v>1</v>
      </c>
      <c r="G85" s="16" t="n">
        <v>1</v>
      </c>
      <c r="H85" s="16" t="n"/>
      <c r="J85" s="54">
        <f>IF(SUM(D85: H85) &gt; 5, REPT("g", 10), (REPT("g", SUM(D85: H85) * 2)))</f>
        <v/>
      </c>
    </row>
    <row customHeight="1" ht="15.75" r="86" s="49" spans="1:10">
      <c r="A86" s="29" t="s">
        <v>87</v>
      </c>
      <c r="B86" s="30" t="n">
        <v>43923</v>
      </c>
      <c r="C86" s="30" t="n"/>
      <c r="D86" s="16" t="n">
        <v>1</v>
      </c>
      <c r="E86" s="16" t="n">
        <v>1</v>
      </c>
      <c r="F86" s="16" t="n">
        <v>1</v>
      </c>
      <c r="G86" s="16" t="n">
        <v>1</v>
      </c>
      <c r="H86" s="23" t="n">
        <v>2</v>
      </c>
      <c r="J86" s="54">
        <f>IF(SUM(D86: H86) &gt; 5, REPT("g", 10), (REPT("g", SUM(D86: H86) * 2)))</f>
        <v/>
      </c>
    </row>
    <row customHeight="1" ht="15.75" r="87" s="49" spans="1:10">
      <c r="A87" s="29" t="s">
        <v>88</v>
      </c>
      <c r="B87" s="30" t="n">
        <v>43921</v>
      </c>
      <c r="C87" s="30" t="n"/>
      <c r="D87" s="16" t="n">
        <v>1</v>
      </c>
      <c r="E87" s="16" t="n">
        <v>1</v>
      </c>
      <c r="F87" s="16" t="n">
        <v>1</v>
      </c>
      <c r="G87" s="16" t="n">
        <v>1</v>
      </c>
      <c r="H87" s="16" t="n">
        <v>1</v>
      </c>
      <c r="J87" s="54">
        <f>IF(SUM(D87: H87) &gt; 5, REPT("g", 10), (REPT("g", SUM(D87: H87) * 2)))</f>
        <v/>
      </c>
    </row>
    <row customHeight="1" ht="15.75" r="88" s="49" spans="1:10">
      <c r="A88" s="29" t="s">
        <v>66</v>
      </c>
      <c r="B88" s="30" t="n">
        <v>43921</v>
      </c>
      <c r="C88" s="30" t="n"/>
      <c r="D88" s="16" t="n">
        <v>1</v>
      </c>
      <c r="E88" s="16" t="n">
        <v>1</v>
      </c>
      <c r="F88" s="16" t="n">
        <v>1</v>
      </c>
      <c r="G88" s="16" t="n">
        <v>1</v>
      </c>
      <c r="H88" s="16" t="n"/>
      <c r="J88" s="54">
        <f>IF(SUM(D88: H88) &gt; 5, REPT("g", 10), (REPT("g", SUM(D88: H88) * 2)))</f>
        <v/>
      </c>
    </row>
    <row customHeight="1" ht="15.75" r="89" s="49" spans="1:10">
      <c r="A89" s="29" t="s">
        <v>61</v>
      </c>
      <c r="B89" s="30" t="n">
        <v>43920</v>
      </c>
      <c r="C89" s="30" t="n"/>
      <c r="D89" s="16" t="n">
        <v>1</v>
      </c>
      <c r="E89" s="16" t="n">
        <v>1</v>
      </c>
      <c r="F89" s="16" t="n">
        <v>1</v>
      </c>
      <c r="G89" s="16" t="n">
        <v>1</v>
      </c>
      <c r="H89" s="16" t="n"/>
      <c r="J89" s="54">
        <f>IF(SUM(D89: H89) &gt; 5, REPT("g", 10), (REPT("g", SUM(D89: H89) * 2)))</f>
        <v/>
      </c>
    </row>
    <row customHeight="1" ht="15.75" r="90" s="49" spans="1:10">
      <c r="A90" s="29" t="s">
        <v>89</v>
      </c>
      <c r="B90" s="30" t="n">
        <v>43917</v>
      </c>
      <c r="C90" s="30" t="n"/>
      <c r="D90" s="16" t="n">
        <v>1</v>
      </c>
      <c r="E90" s="16" t="n">
        <v>1</v>
      </c>
      <c r="F90" s="16" t="n">
        <v>1</v>
      </c>
      <c r="G90" s="16" t="n">
        <v>1</v>
      </c>
      <c r="H90" s="23" t="n">
        <v>2</v>
      </c>
      <c r="I90" t="s">
        <v>73</v>
      </c>
      <c r="J90" s="54">
        <f>IF(SUM(D90: H90) &gt; 5, REPT("g", 10), (REPT("g", SUM(D90: H90) * 2)))</f>
        <v/>
      </c>
    </row>
    <row customHeight="1" ht="15.75" r="91" s="49" spans="1:10">
      <c r="A91" s="29" t="s">
        <v>90</v>
      </c>
      <c r="B91" s="30" t="n">
        <v>43916</v>
      </c>
      <c r="C91" s="30" t="n"/>
      <c r="D91" s="16" t="n">
        <v>1</v>
      </c>
      <c r="E91" s="16" t="n">
        <v>1</v>
      </c>
      <c r="F91" s="16" t="n">
        <v>1</v>
      </c>
      <c r="G91" s="16" t="n">
        <v>1</v>
      </c>
      <c r="H91" s="23" t="n">
        <v>2</v>
      </c>
      <c r="I91" t="s">
        <v>73</v>
      </c>
      <c r="J91" s="54">
        <f>IF(SUM(D91: H91) &gt; 5, REPT("g", 10), (REPT("g", SUM(D91: H91) * 2)))</f>
        <v/>
      </c>
    </row>
    <row customHeight="1" ht="15.75" r="92" s="49" spans="1:10">
      <c r="A92" s="29" t="s">
        <v>51</v>
      </c>
      <c r="B92" s="30" t="n">
        <v>43915</v>
      </c>
      <c r="C92" s="30" t="n"/>
      <c r="D92" s="16" t="n">
        <v>1</v>
      </c>
      <c r="E92" s="16" t="n">
        <v>1</v>
      </c>
      <c r="F92" s="16" t="n">
        <v>1</v>
      </c>
      <c r="G92" s="16" t="n">
        <v>1</v>
      </c>
      <c r="H92" s="16" t="n">
        <v>1</v>
      </c>
      <c r="J92" s="54">
        <f>IF(SUM(D92: H92) &gt; 5, REPT("g", 10), (REPT("g", SUM(D92: H92) * 2)))</f>
        <v/>
      </c>
    </row>
    <row customHeight="1" ht="15.75" r="93" s="49" spans="1:10">
      <c r="A93" t="s">
        <v>91</v>
      </c>
      <c r="B93" s="30" t="n">
        <v>43914</v>
      </c>
      <c r="C93" s="30" t="n"/>
      <c r="D93" s="16" t="n">
        <v>1</v>
      </c>
      <c r="E93" s="16" t="n">
        <v>1</v>
      </c>
      <c r="F93" s="16" t="n">
        <v>1</v>
      </c>
      <c r="G93" s="16" t="n">
        <v>1</v>
      </c>
      <c r="H93" s="16" t="n">
        <v>1</v>
      </c>
      <c r="J93" s="54">
        <f>IF(SUM(D93: H93) &gt; 5, REPT("g", 10), (REPT("g", SUM(D93: H93) * 2)))</f>
        <v/>
      </c>
    </row>
    <row customHeight="1" ht="15.75" r="94" s="49" spans="1:10">
      <c r="A94" t="s">
        <v>66</v>
      </c>
      <c r="B94" s="30" t="n">
        <v>43914</v>
      </c>
      <c r="C94" s="30" t="n"/>
      <c r="D94" s="16" t="n">
        <v>1</v>
      </c>
      <c r="E94" s="16" t="n">
        <v>1</v>
      </c>
      <c r="F94" s="16" t="n">
        <v>1</v>
      </c>
      <c r="G94" s="16" t="n">
        <v>1</v>
      </c>
      <c r="H94" s="16" t="n"/>
      <c r="J94" s="54">
        <f>IF(SUM(D94: H94) &gt; 5, REPT("g", 10), (REPT("g", SUM(D94: H94) * 2)))</f>
        <v/>
      </c>
    </row>
    <row r="95" spans="1:10">
      <c r="A95" t="s">
        <v>61</v>
      </c>
      <c r="B95" s="30" t="n">
        <v>43913</v>
      </c>
      <c r="C95" s="30" t="n"/>
      <c r="D95" s="16" t="n">
        <v>1</v>
      </c>
      <c r="E95" s="16" t="n">
        <v>1</v>
      </c>
      <c r="F95" s="16" t="n">
        <v>1</v>
      </c>
      <c r="G95" s="16" t="n">
        <v>1</v>
      </c>
      <c r="H95" s="16" t="n"/>
      <c r="J95" s="54">
        <f>IF(SUM(D95: H95) &gt; 5, REPT("g", 10), (REPT("g", SUM(D95: H95) * 2)))</f>
        <v/>
      </c>
    </row>
    <row r="96" spans="1:10">
      <c r="A96" t="s">
        <v>92</v>
      </c>
      <c r="B96" s="30" t="n">
        <v>43909</v>
      </c>
      <c r="C96" s="30" t="n"/>
      <c r="D96" s="16" t="n">
        <v>1</v>
      </c>
      <c r="E96" s="16" t="n">
        <v>1</v>
      </c>
      <c r="F96" s="16" t="n">
        <v>1</v>
      </c>
      <c r="G96" s="16" t="n">
        <v>1</v>
      </c>
      <c r="H96" s="16" t="n"/>
      <c r="I96" t="s">
        <v>93</v>
      </c>
      <c r="J96" s="28">
        <f>IF(SUM(D75:H75)&gt;5,REPT("g",10),(REPT("g",SUM(D75:H75)*2)))</f>
        <v/>
      </c>
    </row>
    <row r="97" spans="1:10">
      <c r="D97" s="3" t="n"/>
      <c r="E97" s="3" t="n"/>
      <c r="F97" s="3" t="n"/>
      <c r="G97" s="3" t="n"/>
      <c r="H97" s="3" t="n"/>
    </row>
    <row r="98" spans="1:10">
      <c r="D98" s="3" t="n"/>
      <c r="E98" s="3" t="n"/>
      <c r="F98" s="3" t="n"/>
      <c r="G98" s="3" t="n"/>
      <c r="H98" s="3" t="n"/>
    </row>
    <row r="99" spans="1:10">
      <c r="D99" s="3" t="n"/>
      <c r="E99" s="3" t="n"/>
      <c r="F99" s="3" t="n"/>
      <c r="G99" s="3" t="n"/>
      <c r="H99" s="3" t="n"/>
    </row>
    <row r="100" spans="1:10">
      <c r="D100" s="3" t="n"/>
      <c r="E100" s="3" t="n"/>
      <c r="F100" s="3" t="n"/>
      <c r="G100" s="3" t="n"/>
      <c r="H100" s="3" t="n"/>
    </row>
    <row r="101" spans="1:10">
      <c r="D101" s="3" t="n"/>
      <c r="E101" s="3" t="n"/>
      <c r="F101" s="3" t="n"/>
      <c r="G101" s="3" t="n"/>
      <c r="H101" s="3" t="n"/>
    </row>
    <row r="102" spans="1:10">
      <c r="D102" s="3" t="n"/>
      <c r="E102" s="3" t="n"/>
      <c r="F102" s="3" t="n"/>
      <c r="G102" s="3" t="n"/>
      <c r="H102" s="3" t="n"/>
    </row>
    <row r="103" spans="1:10">
      <c r="D103" s="3" t="n"/>
      <c r="E103" s="3" t="n"/>
      <c r="F103" s="3" t="n"/>
      <c r="G103" s="3" t="n"/>
      <c r="H103" s="3" t="n"/>
    </row>
    <row r="104" spans="1:10">
      <c r="D104" s="3" t="n"/>
      <c r="E104" s="3" t="n"/>
      <c r="F104" s="3" t="n"/>
      <c r="G104" s="3" t="n"/>
      <c r="H104" s="3" t="n"/>
    </row>
    <row r="105" spans="1:10">
      <c r="D105" s="3" t="n"/>
      <c r="E105" s="3" t="n"/>
      <c r="F105" s="3" t="n"/>
      <c r="G105" s="3" t="n"/>
      <c r="H105" s="3" t="n"/>
    </row>
    <row r="106" spans="1:10">
      <c r="D106" s="3" t="n"/>
      <c r="E106" s="3" t="n"/>
      <c r="F106" s="3" t="n"/>
      <c r="G106" s="3" t="n"/>
      <c r="H106" s="3" t="n"/>
    </row>
    <row r="107" spans="1:10">
      <c r="D107" s="3" t="n"/>
      <c r="E107" s="3" t="n"/>
      <c r="F107" s="3" t="n"/>
      <c r="G107" s="3" t="n"/>
      <c r="H107" s="3" t="n"/>
    </row>
    <row r="108" spans="1:10">
      <c r="D108" s="3" t="n"/>
      <c r="E108" s="3" t="n"/>
      <c r="F108" s="3" t="n"/>
      <c r="G108" s="3" t="n"/>
      <c r="H108" s="3" t="n"/>
    </row>
    <row r="109" spans="1:10">
      <c r="D109" s="3" t="n"/>
      <c r="E109" s="3" t="n"/>
      <c r="F109" s="3" t="n"/>
      <c r="G109" s="3" t="n"/>
      <c r="H109" s="3" t="n"/>
    </row>
    <row r="110" spans="1:10">
      <c r="D110" s="2" t="b">
        <v>0</v>
      </c>
      <c r="E110" s="2" t="b">
        <v>0</v>
      </c>
      <c r="F110" s="2" t="b">
        <v>0</v>
      </c>
      <c r="G110" s="2" t="b">
        <v>0</v>
      </c>
      <c r="H110" s="2" t="b">
        <v>1</v>
      </c>
    </row>
    <row r="111" spans="1:10">
      <c r="D111" s="2" t="b">
        <v>1</v>
      </c>
      <c r="E111" s="2" t="b">
        <v>1</v>
      </c>
      <c r="F111" s="2" t="b">
        <v>0</v>
      </c>
      <c r="G111" s="2" t="b">
        <v>0</v>
      </c>
      <c r="H111" s="2" t="b">
        <v>1</v>
      </c>
    </row>
  </sheetData>
  <mergeCells count="3">
    <mergeCell ref="B5:F5"/>
    <mergeCell ref="B6:F6"/>
    <mergeCell ref="A1:J1"/>
  </mergeCells>
  <conditionalFormatting sqref="D70:D71 D73:D85">
    <cfRule priority="545" type="colorScale">
      <colorScale>
        <cfvo type="num" val="0"/>
        <cfvo type="num" val="1"/>
        <color theme="0"/>
        <color theme="9"/>
      </colorScale>
    </cfRule>
  </conditionalFormatting>
  <conditionalFormatting sqref="D69">
    <cfRule priority="437" type="colorScale">
      <colorScale>
        <cfvo type="num" val="0"/>
        <cfvo type="num" val="1"/>
        <color theme="0"/>
        <color theme="9"/>
      </colorScale>
    </cfRule>
  </conditionalFormatting>
  <conditionalFormatting sqref="E69">
    <cfRule priority="436" type="colorScale">
      <colorScale>
        <cfvo type="num" val="0"/>
        <cfvo type="num" val="1"/>
        <color theme="0"/>
        <color theme="9"/>
      </colorScale>
    </cfRule>
  </conditionalFormatting>
  <conditionalFormatting sqref="D68">
    <cfRule priority="429" type="colorScale">
      <colorScale>
        <cfvo type="num" val="0"/>
        <cfvo type="num" val="1"/>
        <color theme="0"/>
        <color theme="9"/>
      </colorScale>
    </cfRule>
  </conditionalFormatting>
  <conditionalFormatting sqref="E68">
    <cfRule priority="428" type="colorScale">
      <colorScale>
        <cfvo type="num" val="0"/>
        <cfvo type="num" val="1"/>
        <color theme="0"/>
        <color theme="9"/>
      </colorScale>
    </cfRule>
  </conditionalFormatting>
  <conditionalFormatting sqref="D72">
    <cfRule priority="416" type="colorScale">
      <colorScale>
        <cfvo type="num" val="0"/>
        <cfvo type="num" val="1"/>
        <color theme="0"/>
        <color theme="9"/>
      </colorScale>
    </cfRule>
  </conditionalFormatting>
  <conditionalFormatting sqref="D67">
    <cfRule priority="414" type="colorScale">
      <colorScale>
        <cfvo type="num" val="0"/>
        <cfvo type="num" val="1"/>
        <color theme="0"/>
        <color theme="9"/>
      </colorScale>
    </cfRule>
  </conditionalFormatting>
  <conditionalFormatting sqref="E67">
    <cfRule priority="413" type="colorScale">
      <colorScale>
        <cfvo type="num" val="0"/>
        <cfvo type="num" val="1"/>
        <color theme="0"/>
        <color theme="9"/>
      </colorScale>
    </cfRule>
  </conditionalFormatting>
  <conditionalFormatting sqref="D66">
    <cfRule priority="410" type="colorScale">
      <colorScale>
        <cfvo type="num" val="0"/>
        <cfvo type="num" val="1"/>
        <color theme="0"/>
        <color theme="9"/>
      </colorScale>
    </cfRule>
  </conditionalFormatting>
  <conditionalFormatting sqref="E66">
    <cfRule priority="409" type="colorScale">
      <colorScale>
        <cfvo type="num" val="0"/>
        <cfvo type="num" val="1"/>
        <color theme="0"/>
        <color theme="9"/>
      </colorScale>
    </cfRule>
  </conditionalFormatting>
  <conditionalFormatting sqref="D65">
    <cfRule priority="406" type="colorScale">
      <colorScale>
        <cfvo type="num" val="0"/>
        <cfvo type="num" val="1"/>
        <color theme="0"/>
        <color theme="9"/>
      </colorScale>
    </cfRule>
  </conditionalFormatting>
  <conditionalFormatting sqref="E65">
    <cfRule priority="405" type="colorScale">
      <colorScale>
        <cfvo type="num" val="0"/>
        <cfvo type="num" val="1"/>
        <color theme="0"/>
        <color theme="9"/>
      </colorScale>
    </cfRule>
  </conditionalFormatting>
  <conditionalFormatting sqref="D64">
    <cfRule priority="402" type="colorScale">
      <colorScale>
        <cfvo type="num" val="0"/>
        <cfvo type="num" val="1"/>
        <color theme="0"/>
        <color theme="9"/>
      </colorScale>
    </cfRule>
  </conditionalFormatting>
  <conditionalFormatting sqref="E64">
    <cfRule priority="401" type="colorScale">
      <colorScale>
        <cfvo type="num" val="0"/>
        <cfvo type="num" val="1"/>
        <color theme="0"/>
        <color theme="9"/>
      </colorScale>
    </cfRule>
  </conditionalFormatting>
  <conditionalFormatting sqref="D63">
    <cfRule priority="398" type="colorScale">
      <colorScale>
        <cfvo type="num" val="0"/>
        <cfvo type="num" val="1"/>
        <color theme="0"/>
        <color theme="9"/>
      </colorScale>
    </cfRule>
  </conditionalFormatting>
  <conditionalFormatting sqref="E63">
    <cfRule priority="397" type="colorScale">
      <colorScale>
        <cfvo type="num" val="0"/>
        <cfvo type="num" val="1"/>
        <color theme="0"/>
        <color theme="9"/>
      </colorScale>
    </cfRule>
  </conditionalFormatting>
  <conditionalFormatting sqref="D62">
    <cfRule priority="394" type="colorScale">
      <colorScale>
        <cfvo type="num" val="0"/>
        <cfvo type="num" val="1"/>
        <color theme="0"/>
        <color theme="9"/>
      </colorScale>
    </cfRule>
  </conditionalFormatting>
  <conditionalFormatting sqref="E62">
    <cfRule priority="393" type="colorScale">
      <colorScale>
        <cfvo type="num" val="0"/>
        <cfvo type="num" val="1"/>
        <color theme="0"/>
        <color theme="9"/>
      </colorScale>
    </cfRule>
  </conditionalFormatting>
  <conditionalFormatting sqref="D61">
    <cfRule priority="378" type="colorScale">
      <colorScale>
        <cfvo type="num" val="0"/>
        <cfvo type="num" val="1"/>
        <color theme="0"/>
        <color theme="9"/>
      </colorScale>
    </cfRule>
  </conditionalFormatting>
  <conditionalFormatting sqref="E61">
    <cfRule priority="377" type="colorScale">
      <colorScale>
        <cfvo type="num" val="0"/>
        <cfvo type="num" val="1"/>
        <color theme="0"/>
        <color theme="9"/>
      </colorScale>
    </cfRule>
  </conditionalFormatting>
  <conditionalFormatting sqref="D60">
    <cfRule priority="374" type="colorScale">
      <colorScale>
        <cfvo type="num" val="0"/>
        <cfvo type="num" val="1"/>
        <color theme="0"/>
        <color theme="9"/>
      </colorScale>
    </cfRule>
  </conditionalFormatting>
  <conditionalFormatting sqref="E60">
    <cfRule priority="373" type="colorScale">
      <colorScale>
        <cfvo type="num" val="0"/>
        <cfvo type="num" val="1"/>
        <color theme="0"/>
        <color theme="9"/>
      </colorScale>
    </cfRule>
  </conditionalFormatting>
  <conditionalFormatting sqref="D59">
    <cfRule priority="366" type="colorScale">
      <colorScale>
        <cfvo type="num" val="0"/>
        <cfvo type="num" val="1"/>
        <color theme="0"/>
        <color theme="9"/>
      </colorScale>
    </cfRule>
  </conditionalFormatting>
  <conditionalFormatting sqref="E59">
    <cfRule priority="365" type="colorScale">
      <colorScale>
        <cfvo type="num" val="0"/>
        <cfvo type="num" val="1"/>
        <color theme="0"/>
        <color theme="9"/>
      </colorScale>
    </cfRule>
  </conditionalFormatting>
  <conditionalFormatting sqref="D58">
    <cfRule priority="362" type="colorScale">
      <colorScale>
        <cfvo type="num" val="0"/>
        <cfvo type="num" val="1"/>
        <color theme="0"/>
        <color theme="9"/>
      </colorScale>
    </cfRule>
  </conditionalFormatting>
  <conditionalFormatting sqref="E58">
    <cfRule priority="361" type="colorScale">
      <colorScale>
        <cfvo type="num" val="0"/>
        <cfvo type="num" val="1"/>
        <color theme="0"/>
        <color theme="9"/>
      </colorScale>
    </cfRule>
  </conditionalFormatting>
  <conditionalFormatting sqref="D57">
    <cfRule priority="358" type="colorScale">
      <colorScale>
        <cfvo type="num" val="0"/>
        <cfvo type="num" val="1"/>
        <color theme="0"/>
        <color theme="9"/>
      </colorScale>
    </cfRule>
  </conditionalFormatting>
  <conditionalFormatting sqref="E57">
    <cfRule priority="357" type="colorScale">
      <colorScale>
        <cfvo type="num" val="0"/>
        <cfvo type="num" val="1"/>
        <color theme="0"/>
        <color theme="9"/>
      </colorScale>
    </cfRule>
  </conditionalFormatting>
  <conditionalFormatting sqref="D56">
    <cfRule priority="354" type="colorScale">
      <colorScale>
        <cfvo type="num" val="0"/>
        <cfvo type="num" val="1"/>
        <color theme="0"/>
        <color theme="9"/>
      </colorScale>
    </cfRule>
  </conditionalFormatting>
  <conditionalFormatting sqref="E56">
    <cfRule priority="353" type="colorScale">
      <colorScale>
        <cfvo type="num" val="0"/>
        <cfvo type="num" val="1"/>
        <color theme="0"/>
        <color theme="9"/>
      </colorScale>
    </cfRule>
  </conditionalFormatting>
  <conditionalFormatting sqref="D55">
    <cfRule priority="346" type="colorScale">
      <colorScale>
        <cfvo type="num" val="0"/>
        <cfvo type="num" val="1"/>
        <color theme="0"/>
        <color theme="9"/>
      </colorScale>
    </cfRule>
  </conditionalFormatting>
  <conditionalFormatting sqref="E55">
    <cfRule priority="345" type="colorScale">
      <colorScale>
        <cfvo type="num" val="0"/>
        <cfvo type="num" val="1"/>
        <color theme="0"/>
        <color theme="9"/>
      </colorScale>
    </cfRule>
  </conditionalFormatting>
  <conditionalFormatting sqref="D54">
    <cfRule priority="338" type="colorScale">
      <colorScale>
        <cfvo type="num" val="0"/>
        <cfvo type="num" val="1"/>
        <color theme="0"/>
        <color theme="9"/>
      </colorScale>
    </cfRule>
  </conditionalFormatting>
  <conditionalFormatting sqref="E54">
    <cfRule priority="337" type="colorScale">
      <colorScale>
        <cfvo type="num" val="0"/>
        <cfvo type="num" val="1"/>
        <color theme="0"/>
        <color theme="9"/>
      </colorScale>
    </cfRule>
  </conditionalFormatting>
  <conditionalFormatting sqref="D53">
    <cfRule priority="334" type="colorScale">
      <colorScale>
        <cfvo type="num" val="0"/>
        <cfvo type="num" val="1"/>
        <color theme="0"/>
        <color theme="9"/>
      </colorScale>
    </cfRule>
  </conditionalFormatting>
  <conditionalFormatting sqref="E53">
    <cfRule priority="333" type="colorScale">
      <colorScale>
        <cfvo type="num" val="0"/>
        <cfvo type="num" val="1"/>
        <color theme="0"/>
        <color theme="9"/>
      </colorScale>
    </cfRule>
  </conditionalFormatting>
  <conditionalFormatting sqref="D52">
    <cfRule priority="330" type="colorScale">
      <colorScale>
        <cfvo type="num" val="0"/>
        <cfvo type="num" val="1"/>
        <color theme="0"/>
        <color theme="9"/>
      </colorScale>
    </cfRule>
  </conditionalFormatting>
  <conditionalFormatting sqref="E52">
    <cfRule priority="329" type="colorScale">
      <colorScale>
        <cfvo type="num" val="0"/>
        <cfvo type="num" val="1"/>
        <color theme="0"/>
        <color theme="9"/>
      </colorScale>
    </cfRule>
  </conditionalFormatting>
  <conditionalFormatting sqref="D51">
    <cfRule priority="326" type="colorScale">
      <colorScale>
        <cfvo type="num" val="0"/>
        <cfvo type="num" val="1"/>
        <color theme="0"/>
        <color theme="9"/>
      </colorScale>
    </cfRule>
  </conditionalFormatting>
  <conditionalFormatting sqref="E51">
    <cfRule priority="325" type="colorScale">
      <colorScale>
        <cfvo type="num" val="0"/>
        <cfvo type="num" val="1"/>
        <color theme="0"/>
        <color theme="9"/>
      </colorScale>
    </cfRule>
  </conditionalFormatting>
  <conditionalFormatting sqref="D50">
    <cfRule priority="322" type="colorScale">
      <colorScale>
        <cfvo type="num" val="0"/>
        <cfvo type="num" val="1"/>
        <color theme="0"/>
        <color theme="9"/>
      </colorScale>
    </cfRule>
  </conditionalFormatting>
  <conditionalFormatting sqref="E50">
    <cfRule priority="321" type="colorScale">
      <colorScale>
        <cfvo type="num" val="0"/>
        <cfvo type="num" val="1"/>
        <color theme="0"/>
        <color theme="9"/>
      </colorScale>
    </cfRule>
  </conditionalFormatting>
  <conditionalFormatting sqref="D49">
    <cfRule priority="318" type="colorScale">
      <colorScale>
        <cfvo type="num" val="0"/>
        <cfvo type="num" val="1"/>
        <color theme="0"/>
        <color theme="9"/>
      </colorScale>
    </cfRule>
  </conditionalFormatting>
  <conditionalFormatting sqref="E49">
    <cfRule priority="317" type="colorScale">
      <colorScale>
        <cfvo type="num" val="0"/>
        <cfvo type="num" val="1"/>
        <color theme="0"/>
        <color theme="9"/>
      </colorScale>
    </cfRule>
  </conditionalFormatting>
  <conditionalFormatting sqref="D48">
    <cfRule priority="314" type="colorScale">
      <colorScale>
        <cfvo type="num" val="0"/>
        <cfvo type="num" val="1"/>
        <color theme="0"/>
        <color theme="9"/>
      </colorScale>
    </cfRule>
  </conditionalFormatting>
  <conditionalFormatting sqref="E48">
    <cfRule priority="313" type="colorScale">
      <colorScale>
        <cfvo type="num" val="0"/>
        <cfvo type="num" val="1"/>
        <color theme="0"/>
        <color theme="9"/>
      </colorScale>
    </cfRule>
  </conditionalFormatting>
  <conditionalFormatting sqref="D47">
    <cfRule priority="310" type="colorScale">
      <colorScale>
        <cfvo type="num" val="0"/>
        <cfvo type="num" val="1"/>
        <color theme="0"/>
        <color theme="9"/>
      </colorScale>
    </cfRule>
  </conditionalFormatting>
  <conditionalFormatting sqref="E47">
    <cfRule priority="309" type="colorScale">
      <colorScale>
        <cfvo type="num" val="0"/>
        <cfvo type="num" val="1"/>
        <color theme="0"/>
        <color theme="9"/>
      </colorScale>
    </cfRule>
  </conditionalFormatting>
  <conditionalFormatting sqref="D46">
    <cfRule priority="306" type="colorScale">
      <colorScale>
        <cfvo type="num" val="0"/>
        <cfvo type="num" val="1"/>
        <color theme="0"/>
        <color theme="9"/>
      </colorScale>
    </cfRule>
  </conditionalFormatting>
  <conditionalFormatting sqref="E46">
    <cfRule priority="305" type="colorScale">
      <colorScale>
        <cfvo type="num" val="0"/>
        <cfvo type="num" val="1"/>
        <color theme="0"/>
        <color theme="9"/>
      </colorScale>
    </cfRule>
  </conditionalFormatting>
  <conditionalFormatting sqref="D45">
    <cfRule priority="302" type="colorScale">
      <colorScale>
        <cfvo type="num" val="0"/>
        <cfvo type="num" val="1"/>
        <color theme="0"/>
        <color theme="9"/>
      </colorScale>
    </cfRule>
  </conditionalFormatting>
  <conditionalFormatting sqref="E45">
    <cfRule priority="301" type="colorScale">
      <colorScale>
        <cfvo type="num" val="0"/>
        <cfvo type="num" val="1"/>
        <color theme="0"/>
        <color theme="9"/>
      </colorScale>
    </cfRule>
  </conditionalFormatting>
  <conditionalFormatting sqref="D44">
    <cfRule priority="298" type="colorScale">
      <colorScale>
        <cfvo type="num" val="0"/>
        <cfvo type="num" val="1"/>
        <color theme="0"/>
        <color theme="9"/>
      </colorScale>
    </cfRule>
  </conditionalFormatting>
  <conditionalFormatting sqref="E44">
    <cfRule priority="297" type="colorScale">
      <colorScale>
        <cfvo type="num" val="0"/>
        <cfvo type="num" val="1"/>
        <color theme="0"/>
        <color theme="9"/>
      </colorScale>
    </cfRule>
  </conditionalFormatting>
  <conditionalFormatting sqref="D43">
    <cfRule priority="294" type="colorScale">
      <colorScale>
        <cfvo type="num" val="0"/>
        <cfvo type="num" val="1"/>
        <color theme="0"/>
        <color theme="9"/>
      </colorScale>
    </cfRule>
  </conditionalFormatting>
  <conditionalFormatting sqref="E43">
    <cfRule priority="293" type="colorScale">
      <colorScale>
        <cfvo type="num" val="0"/>
        <cfvo type="num" val="1"/>
        <color theme="0"/>
        <color theme="9"/>
      </colorScale>
    </cfRule>
  </conditionalFormatting>
  <conditionalFormatting sqref="D42">
    <cfRule priority="290" type="colorScale">
      <colorScale>
        <cfvo type="num" val="0"/>
        <cfvo type="num" val="1"/>
        <color theme="0"/>
        <color theme="9"/>
      </colorScale>
    </cfRule>
  </conditionalFormatting>
  <conditionalFormatting sqref="E42">
    <cfRule priority="289" type="colorScale">
      <colorScale>
        <cfvo type="num" val="0"/>
        <cfvo type="num" val="1"/>
        <color theme="0"/>
        <color theme="9"/>
      </colorScale>
    </cfRule>
  </conditionalFormatting>
  <conditionalFormatting sqref="D41">
    <cfRule priority="286" type="colorScale">
      <colorScale>
        <cfvo type="num" val="0"/>
        <cfvo type="num" val="1"/>
        <color theme="0"/>
        <color theme="9"/>
      </colorScale>
    </cfRule>
  </conditionalFormatting>
  <conditionalFormatting sqref="E41">
    <cfRule priority="285" type="colorScale">
      <colorScale>
        <cfvo type="num" val="0"/>
        <cfvo type="num" val="1"/>
        <color theme="0"/>
        <color theme="9"/>
      </colorScale>
    </cfRule>
  </conditionalFormatting>
  <conditionalFormatting sqref="D40">
    <cfRule priority="282" type="colorScale">
      <colorScale>
        <cfvo type="num" val="0"/>
        <cfvo type="num" val="1"/>
        <color theme="0"/>
        <color theme="9"/>
      </colorScale>
    </cfRule>
  </conditionalFormatting>
  <conditionalFormatting sqref="E40">
    <cfRule priority="281" type="colorScale">
      <colorScale>
        <cfvo type="num" val="0"/>
        <cfvo type="num" val="1"/>
        <color theme="0"/>
        <color theme="9"/>
      </colorScale>
    </cfRule>
  </conditionalFormatting>
  <conditionalFormatting sqref="D39">
    <cfRule priority="278" type="colorScale">
      <colorScale>
        <cfvo type="num" val="0"/>
        <cfvo type="num" val="1"/>
        <color theme="0"/>
        <color theme="9"/>
      </colorScale>
    </cfRule>
  </conditionalFormatting>
  <conditionalFormatting sqref="E39">
    <cfRule priority="277" type="colorScale">
      <colorScale>
        <cfvo type="num" val="0"/>
        <cfvo type="num" val="1"/>
        <color theme="0"/>
        <color theme="9"/>
      </colorScale>
    </cfRule>
  </conditionalFormatting>
  <conditionalFormatting sqref="D38">
    <cfRule priority="274" type="colorScale">
      <colorScale>
        <cfvo type="num" val="0"/>
        <cfvo type="num" val="1"/>
        <color theme="0"/>
        <color theme="9"/>
      </colorScale>
    </cfRule>
  </conditionalFormatting>
  <conditionalFormatting sqref="E38">
    <cfRule priority="273" type="colorScale">
      <colorScale>
        <cfvo type="num" val="0"/>
        <cfvo type="num" val="1"/>
        <color theme="0"/>
        <color theme="9"/>
      </colorScale>
    </cfRule>
  </conditionalFormatting>
  <conditionalFormatting sqref="D37">
    <cfRule priority="270" type="colorScale">
      <colorScale>
        <cfvo type="num" val="0"/>
        <cfvo type="num" val="1"/>
        <color theme="0"/>
        <color theme="9"/>
      </colorScale>
    </cfRule>
  </conditionalFormatting>
  <conditionalFormatting sqref="E37">
    <cfRule priority="269" type="colorScale">
      <colorScale>
        <cfvo type="num" val="0"/>
        <cfvo type="num" val="1"/>
        <color theme="0"/>
        <color theme="9"/>
      </colorScale>
    </cfRule>
  </conditionalFormatting>
  <conditionalFormatting sqref="D36">
    <cfRule priority="266" type="colorScale">
      <colorScale>
        <cfvo type="num" val="0"/>
        <cfvo type="num" val="1"/>
        <color theme="0"/>
        <color theme="9"/>
      </colorScale>
    </cfRule>
  </conditionalFormatting>
  <conditionalFormatting sqref="E36">
    <cfRule priority="265" type="colorScale">
      <colorScale>
        <cfvo type="num" val="0"/>
        <cfvo type="num" val="1"/>
        <color theme="0"/>
        <color theme="9"/>
      </colorScale>
    </cfRule>
  </conditionalFormatting>
  <conditionalFormatting sqref="D35">
    <cfRule priority="262" type="colorScale">
      <colorScale>
        <cfvo type="num" val="0"/>
        <cfvo type="num" val="1"/>
        <color theme="0"/>
        <color theme="9"/>
      </colorScale>
    </cfRule>
  </conditionalFormatting>
  <conditionalFormatting sqref="E35">
    <cfRule priority="261" type="colorScale">
      <colorScale>
        <cfvo type="num" val="0"/>
        <cfvo type="num" val="1"/>
        <color theme="0"/>
        <color theme="9"/>
      </colorScale>
    </cfRule>
  </conditionalFormatting>
  <conditionalFormatting sqref="D34">
    <cfRule priority="258" type="colorScale">
      <colorScale>
        <cfvo type="num" val="0"/>
        <cfvo type="num" val="1"/>
        <color theme="0"/>
        <color theme="9"/>
      </colorScale>
    </cfRule>
  </conditionalFormatting>
  <conditionalFormatting sqref="E34">
    <cfRule priority="257" type="colorScale">
      <colorScale>
        <cfvo type="num" val="0"/>
        <cfvo type="num" val="1"/>
        <color theme="0"/>
        <color theme="9"/>
      </colorScale>
    </cfRule>
  </conditionalFormatting>
  <conditionalFormatting sqref="D33">
    <cfRule priority="254" type="colorScale">
      <colorScale>
        <cfvo type="num" val="0"/>
        <cfvo type="num" val="1"/>
        <color theme="0"/>
        <color theme="9"/>
      </colorScale>
    </cfRule>
  </conditionalFormatting>
  <conditionalFormatting sqref="E33">
    <cfRule priority="253" type="colorScale">
      <colorScale>
        <cfvo type="num" val="0"/>
        <cfvo type="num" val="1"/>
        <color theme="0"/>
        <color theme="9"/>
      </colorScale>
    </cfRule>
  </conditionalFormatting>
  <conditionalFormatting sqref="D32">
    <cfRule priority="250" type="colorScale">
      <colorScale>
        <cfvo type="num" val="0"/>
        <cfvo type="num" val="1"/>
        <color theme="0"/>
        <color theme="9"/>
      </colorScale>
    </cfRule>
  </conditionalFormatting>
  <conditionalFormatting sqref="E32">
    <cfRule priority="249" type="colorScale">
      <colorScale>
        <cfvo type="num" val="0"/>
        <cfvo type="num" val="1"/>
        <color theme="0"/>
        <color theme="9"/>
      </colorScale>
    </cfRule>
  </conditionalFormatting>
  <conditionalFormatting sqref="D31">
    <cfRule priority="246" type="colorScale">
      <colorScale>
        <cfvo type="num" val="0"/>
        <cfvo type="num" val="1"/>
        <color theme="0"/>
        <color theme="9"/>
      </colorScale>
    </cfRule>
  </conditionalFormatting>
  <conditionalFormatting sqref="E31">
    <cfRule priority="245" type="colorScale">
      <colorScale>
        <cfvo type="num" val="0"/>
        <cfvo type="num" val="1"/>
        <color theme="0"/>
        <color theme="9"/>
      </colorScale>
    </cfRule>
  </conditionalFormatting>
  <conditionalFormatting sqref="D30">
    <cfRule priority="242" type="colorScale">
      <colorScale>
        <cfvo type="num" val="0"/>
        <cfvo type="num" val="1"/>
        <color theme="0"/>
        <color theme="9"/>
      </colorScale>
    </cfRule>
  </conditionalFormatting>
  <conditionalFormatting sqref="E30">
    <cfRule priority="241" type="colorScale">
      <colorScale>
        <cfvo type="num" val="0"/>
        <cfvo type="num" val="1"/>
        <color theme="0"/>
        <color theme="9"/>
      </colorScale>
    </cfRule>
  </conditionalFormatting>
  <conditionalFormatting sqref="D29">
    <cfRule priority="238" type="colorScale">
      <colorScale>
        <cfvo type="num" val="0"/>
        <cfvo type="num" val="1"/>
        <color theme="0"/>
        <color theme="9"/>
      </colorScale>
    </cfRule>
  </conditionalFormatting>
  <conditionalFormatting sqref="E29">
    <cfRule priority="237" type="colorScale">
      <colorScale>
        <cfvo type="num" val="0"/>
        <cfvo type="num" val="1"/>
        <color theme="0"/>
        <color theme="9"/>
      </colorScale>
    </cfRule>
  </conditionalFormatting>
  <conditionalFormatting sqref="D28">
    <cfRule priority="234" type="colorScale">
      <colorScale>
        <cfvo type="num" val="0"/>
        <cfvo type="num" val="1"/>
        <color theme="0"/>
        <color theme="9"/>
      </colorScale>
    </cfRule>
  </conditionalFormatting>
  <conditionalFormatting sqref="E28">
    <cfRule priority="233" type="colorScale">
      <colorScale>
        <cfvo type="num" val="0"/>
        <cfvo type="num" val="1"/>
        <color theme="0"/>
        <color theme="9"/>
      </colorScale>
    </cfRule>
  </conditionalFormatting>
  <conditionalFormatting sqref="D27">
    <cfRule priority="230" type="colorScale">
      <colorScale>
        <cfvo type="num" val="0"/>
        <cfvo type="num" val="1"/>
        <color theme="0"/>
        <color theme="9"/>
      </colorScale>
    </cfRule>
  </conditionalFormatting>
  <conditionalFormatting sqref="E27">
    <cfRule priority="229" type="colorScale">
      <colorScale>
        <cfvo type="num" val="0"/>
        <cfvo type="num" val="1"/>
        <color theme="0"/>
        <color theme="9"/>
      </colorScale>
    </cfRule>
  </conditionalFormatting>
  <conditionalFormatting sqref="D26">
    <cfRule priority="226" type="colorScale">
      <colorScale>
        <cfvo type="num" val="0"/>
        <cfvo type="num" val="1"/>
        <color theme="0"/>
        <color theme="9"/>
      </colorScale>
    </cfRule>
  </conditionalFormatting>
  <conditionalFormatting sqref="E26">
    <cfRule priority="225" type="colorScale">
      <colorScale>
        <cfvo type="num" val="0"/>
        <cfvo type="num" val="1"/>
        <color theme="0"/>
        <color theme="9"/>
      </colorScale>
    </cfRule>
  </conditionalFormatting>
  <conditionalFormatting sqref="D25">
    <cfRule priority="198" type="colorScale">
      <colorScale>
        <cfvo type="num" val="0"/>
        <cfvo type="num" val="1"/>
        <color theme="0"/>
        <color theme="9"/>
      </colorScale>
    </cfRule>
  </conditionalFormatting>
  <conditionalFormatting sqref="E25">
    <cfRule priority="197" type="colorScale">
      <colorScale>
        <cfvo type="num" val="0"/>
        <cfvo type="num" val="1"/>
        <color theme="0"/>
        <color theme="9"/>
      </colorScale>
    </cfRule>
  </conditionalFormatting>
  <conditionalFormatting sqref="D24">
    <cfRule priority="195" type="colorScale">
      <colorScale>
        <cfvo type="num" val="0"/>
        <cfvo type="num" val="1"/>
        <color theme="0"/>
        <color theme="9"/>
      </colorScale>
    </cfRule>
  </conditionalFormatting>
  <conditionalFormatting sqref="E24">
    <cfRule priority="194" type="colorScale">
      <colorScale>
        <cfvo type="num" val="0"/>
        <cfvo type="num" val="1"/>
        <color theme="0"/>
        <color theme="9"/>
      </colorScale>
    </cfRule>
  </conditionalFormatting>
  <conditionalFormatting sqref="D23">
    <cfRule priority="192" type="colorScale">
      <colorScale>
        <cfvo type="num" val="0"/>
        <cfvo type="num" val="1"/>
        <color theme="0"/>
        <color theme="9"/>
      </colorScale>
    </cfRule>
  </conditionalFormatting>
  <conditionalFormatting sqref="E23">
    <cfRule priority="191" type="colorScale">
      <colorScale>
        <cfvo type="num" val="0"/>
        <cfvo type="num" val="1"/>
        <color theme="0"/>
        <color theme="9"/>
      </colorScale>
    </cfRule>
  </conditionalFormatting>
  <conditionalFormatting sqref="D22">
    <cfRule priority="189" type="colorScale">
      <colorScale>
        <cfvo type="num" val="0"/>
        <cfvo type="num" val="1"/>
        <color theme="0"/>
        <color theme="9"/>
      </colorScale>
    </cfRule>
  </conditionalFormatting>
  <conditionalFormatting sqref="E22">
    <cfRule priority="188" type="colorScale">
      <colorScale>
        <cfvo type="num" val="0"/>
        <cfvo type="num" val="1"/>
        <color theme="0"/>
        <color theme="9"/>
      </colorScale>
    </cfRule>
  </conditionalFormatting>
  <conditionalFormatting sqref="D21">
    <cfRule priority="182" type="colorScale">
      <colorScale>
        <cfvo type="num" val="0"/>
        <cfvo type="num" val="1"/>
        <color theme="0"/>
        <color theme="9"/>
      </colorScale>
    </cfRule>
  </conditionalFormatting>
  <conditionalFormatting sqref="E21">
    <cfRule priority="181" type="colorScale">
      <colorScale>
        <cfvo type="num" val="0"/>
        <cfvo type="num" val="1"/>
        <color theme="0"/>
        <color theme="9"/>
      </colorScale>
    </cfRule>
  </conditionalFormatting>
  <conditionalFormatting sqref="D20">
    <cfRule priority="178" type="colorScale">
      <colorScale>
        <cfvo type="num" val="0"/>
        <cfvo type="num" val="1"/>
        <color theme="0"/>
        <color theme="9"/>
      </colorScale>
    </cfRule>
  </conditionalFormatting>
  <conditionalFormatting sqref="E20">
    <cfRule priority="177" type="colorScale">
      <colorScale>
        <cfvo type="num" val="0"/>
        <cfvo type="num" val="1"/>
        <color theme="0"/>
        <color theme="9"/>
      </colorScale>
    </cfRule>
  </conditionalFormatting>
  <conditionalFormatting sqref="D19">
    <cfRule priority="174" type="colorScale">
      <colorScale>
        <cfvo type="num" val="0"/>
        <cfvo type="num" val="1"/>
        <color theme="0"/>
        <color theme="9"/>
      </colorScale>
    </cfRule>
  </conditionalFormatting>
  <conditionalFormatting sqref="E19">
    <cfRule priority="173" type="colorScale">
      <colorScale>
        <cfvo type="num" val="0"/>
        <cfvo type="num" val="1"/>
        <color theme="0"/>
        <color theme="9"/>
      </colorScale>
    </cfRule>
  </conditionalFormatting>
  <conditionalFormatting sqref="D18">
    <cfRule priority="170" type="colorScale">
      <colorScale>
        <cfvo type="num" val="0"/>
        <cfvo type="num" val="1"/>
        <color theme="0"/>
        <color theme="9"/>
      </colorScale>
    </cfRule>
  </conditionalFormatting>
  <conditionalFormatting sqref="E18">
    <cfRule priority="169" type="colorScale">
      <colorScale>
        <cfvo type="num" val="0"/>
        <cfvo type="num" val="1"/>
        <color theme="0"/>
        <color theme="9"/>
      </colorScale>
    </cfRule>
  </conditionalFormatting>
  <conditionalFormatting sqref="D17">
    <cfRule priority="166" type="colorScale">
      <colorScale>
        <cfvo type="num" val="0"/>
        <cfvo type="num" val="1"/>
        <color theme="0"/>
        <color theme="9"/>
      </colorScale>
    </cfRule>
  </conditionalFormatting>
  <conditionalFormatting sqref="E17">
    <cfRule priority="165" type="colorScale">
      <colorScale>
        <cfvo type="num" val="0"/>
        <cfvo type="num" val="1"/>
        <color theme="0"/>
        <color theme="9"/>
      </colorScale>
    </cfRule>
  </conditionalFormatting>
  <conditionalFormatting sqref="D16">
    <cfRule priority="162" type="colorScale">
      <colorScale>
        <cfvo type="num" val="0"/>
        <cfvo type="num" val="1"/>
        <color theme="0"/>
        <color theme="9"/>
      </colorScale>
    </cfRule>
  </conditionalFormatting>
  <conditionalFormatting sqref="E16">
    <cfRule priority="161" type="colorScale">
      <colorScale>
        <cfvo type="num" val="0"/>
        <cfvo type="num" val="1"/>
        <color theme="0"/>
        <color theme="9"/>
      </colorScale>
    </cfRule>
  </conditionalFormatting>
  <conditionalFormatting sqref="D15">
    <cfRule priority="158" type="colorScale">
      <colorScale>
        <cfvo type="num" val="0"/>
        <cfvo type="num" val="1"/>
        <color theme="0"/>
        <color theme="9"/>
      </colorScale>
    </cfRule>
  </conditionalFormatting>
  <conditionalFormatting sqref="E15">
    <cfRule priority="157" type="colorScale">
      <colorScale>
        <cfvo type="num" val="0"/>
        <cfvo type="num" val="1"/>
        <color theme="0"/>
        <color theme="9"/>
      </colorScale>
    </cfRule>
  </conditionalFormatting>
  <conditionalFormatting sqref="D14">
    <cfRule priority="154" type="colorScale">
      <colorScale>
        <cfvo type="num" val="0"/>
        <cfvo type="num" val="1"/>
        <color theme="0"/>
        <color theme="9"/>
      </colorScale>
    </cfRule>
  </conditionalFormatting>
  <conditionalFormatting sqref="E14">
    <cfRule priority="153" type="colorScale">
      <colorScale>
        <cfvo type="num" val="0"/>
        <cfvo type="num" val="1"/>
        <color theme="0"/>
        <color theme="9"/>
      </colorScale>
    </cfRule>
  </conditionalFormatting>
  <conditionalFormatting sqref="D13">
    <cfRule priority="150" type="colorScale">
      <colorScale>
        <cfvo type="num" val="0"/>
        <cfvo type="num" val="1"/>
        <color theme="0"/>
        <color theme="9"/>
      </colorScale>
    </cfRule>
  </conditionalFormatting>
  <conditionalFormatting sqref="E13">
    <cfRule priority="149" type="colorScale">
      <colorScale>
        <cfvo type="num" val="0"/>
        <cfvo type="num" val="1"/>
        <color theme="0"/>
        <color theme="9"/>
      </colorScale>
    </cfRule>
  </conditionalFormatting>
  <conditionalFormatting sqref="H13:H72 H9">
    <cfRule priority="106" type="colorScale">
      <colorScale>
        <cfvo type="num" val="1"/>
        <cfvo type="num" val="2"/>
        <color rgb="FF70AD47"/>
        <color rgb="FFFFFF00"/>
      </colorScale>
    </cfRule>
  </conditionalFormatting>
  <conditionalFormatting sqref="E70:E72">
    <cfRule priority="75" type="colorScale">
      <colorScale>
        <cfvo type="min"/>
        <cfvo type="max"/>
        <color theme="0"/>
        <color rgb="FF70AD47"/>
      </colorScale>
    </cfRule>
  </conditionalFormatting>
  <conditionalFormatting sqref="D9:G9">
    <cfRule priority="70" type="colorScale">
      <colorScale>
        <cfvo type="min"/>
        <cfvo type="max"/>
        <color theme="0"/>
        <color rgb="FF70AD47"/>
      </colorScale>
    </cfRule>
  </conditionalFormatting>
  <conditionalFormatting sqref="J13:J75 J9">
    <cfRule priority="35" type="dataBar">
      <dataBar showValue="0">
        <cfvo type="num" val="0"/>
        <cfvo type="num" val="5"/>
        <color rgb="FF638EC6"/>
      </dataBar>
    </cfRule>
  </conditionalFormatting>
  <conditionalFormatting sqref="F13:G72">
    <cfRule priority="558" type="colorScale">
      <colorScale>
        <cfvo type="min"/>
        <cfvo type="max"/>
        <color theme="0"/>
        <color rgb="FF70AD47"/>
      </colorScale>
    </cfRule>
  </conditionalFormatting>
  <conditionalFormatting sqref="D13:G13">
    <cfRule priority="128" type="colorScale">
      <colorScale>
        <cfvo type="num" val="0"/>
        <cfvo type="num" val="1"/>
        <color rgb="FFFFFFFF"/>
        <color rgb="FF70AD47"/>
      </colorScale>
    </cfRule>
  </conditionalFormatting>
  <conditionalFormatting sqref="H13">
    <cfRule priority="129" type="colorScale">
      <colorScale>
        <cfvo type="num" val="1"/>
        <cfvo type="num" val="2"/>
        <color rgb="FF70AD47"/>
        <color rgb="FFFFFF00"/>
      </colorScale>
    </cfRule>
  </conditionalFormatting>
  <conditionalFormatting sqref="H12">
    <cfRule priority="6" type="colorScale">
      <colorScale>
        <cfvo type="num" val="1"/>
        <cfvo type="num" val="2"/>
        <color rgb="FF70AD47"/>
        <color rgb="FFFFFF00"/>
      </colorScale>
    </cfRule>
    <cfRule priority="131" type="colorScale">
      <colorScale>
        <cfvo type="num" val="1"/>
        <cfvo type="num" val="2"/>
        <color rgb="FF70AD47"/>
        <color rgb="FFFFFF00"/>
      </colorScale>
    </cfRule>
  </conditionalFormatting>
  <conditionalFormatting sqref="D12:G12">
    <cfRule priority="5" type="colorScale">
      <colorScale>
        <cfvo type="min"/>
        <cfvo type="max"/>
        <color theme="0"/>
        <color rgb="FF70AD47"/>
      </colorScale>
    </cfRule>
    <cfRule priority="130" type="colorScale">
      <colorScale>
        <cfvo type="num" val="0"/>
        <cfvo type="num" val="1"/>
        <color rgb="FFFFFFFF"/>
        <color rgb="FF70AD47"/>
      </colorScale>
    </cfRule>
  </conditionalFormatting>
  <conditionalFormatting sqref="J12">
    <cfRule priority="4" type="dataBar">
      <dataBar showValue="0">
        <cfvo type="num" val="0"/>
        <cfvo type="num" val="5"/>
        <color rgb="FF638EC6"/>
      </dataBar>
    </cfRule>
  </conditionalFormatting>
  <conditionalFormatting sqref="H11">
    <cfRule priority="3" type="colorScale">
      <colorScale>
        <cfvo type="num" val="1"/>
        <cfvo type="num" val="2"/>
        <color rgb="FF70AD47"/>
        <color rgb="FFFFFF00"/>
      </colorScale>
    </cfRule>
    <cfRule priority="133" type="colorScale">
      <colorScale>
        <cfvo type="num" val="1"/>
        <cfvo type="num" val="2"/>
        <color rgb="0070AD47"/>
        <color rgb="00FFFF00"/>
      </colorScale>
    </cfRule>
    <cfRule priority="135" type="colorScale">
      <colorScale>
        <cfvo type="num" val="1"/>
        <cfvo type="num" val="2"/>
        <color rgb="0070AD47"/>
        <color rgb="00FFFF00"/>
      </colorScale>
    </cfRule>
  </conditionalFormatting>
  <conditionalFormatting sqref="D11:G11">
    <cfRule priority="2" type="colorScale">
      <colorScale>
        <cfvo type="min"/>
        <cfvo type="max"/>
        <color theme="0"/>
        <color rgb="FF70AD47"/>
      </colorScale>
    </cfRule>
    <cfRule priority="132" type="colorScale">
      <colorScale>
        <cfvo type="num" val="0"/>
        <cfvo type="num" val="1"/>
        <color rgb="00FFFFFF"/>
        <color rgb="0070AD47"/>
      </colorScale>
    </cfRule>
    <cfRule priority="134" type="colorScale">
      <colorScale>
        <cfvo type="num" val="0"/>
        <cfvo type="num" val="1"/>
        <color rgb="00FFFFFF"/>
        <color rgb="0070AD47"/>
      </colorScale>
    </cfRule>
  </conditionalFormatting>
  <conditionalFormatting sqref="J11">
    <cfRule priority="1" type="dataBar">
      <dataBar showValue="0">
        <cfvo type="num" val="0"/>
        <cfvo type="num" val="5"/>
        <color rgb="FF638EC6"/>
      </dataBar>
    </cfRule>
  </conditionalFormatting>
  <hyperlinks>
    <hyperlink ref="B5" r:id="rId1"/>
    <hyperlink ref="B6" r:id="rId2"/>
  </hyperlinks>
  <pageMargins bottom="0.75" footer="0.3" header="0.3" left="0.7" right="0.7" top="0.75"/>
  <pageSetup orientation="portrait"/>
  <legacyDrawing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1"/>
  <sheetViews>
    <sheetView workbookViewId="0">
      <selection activeCell="B4" sqref="B4"/>
    </sheetView>
  </sheetViews>
  <sheetFormatPr baseColWidth="8" defaultRowHeight="15" outlineLevelCol="0"/>
  <cols>
    <col customWidth="1" max="1" min="1" style="49" width="30.42578125"/>
    <col customWidth="1" max="7" min="2" style="49" width="11.7109375"/>
    <col customWidth="1" max="8" min="8" style="49" width="30.7109375"/>
    <col customWidth="1" max="9" min="9" style="49" width="17.140625"/>
  </cols>
  <sheetData>
    <row r="1" spans="1:9">
      <c r="A1" s="5" t="s">
        <v>8</v>
      </c>
      <c r="B1" s="4" t="s">
        <v>9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15</v>
      </c>
      <c r="H1" s="4" t="s">
        <v>16</v>
      </c>
      <c r="I1" s="4" t="s">
        <v>17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Ogilvie, Heath</dc:creator>
  <dcterms:created xsi:type="dcterms:W3CDTF">2020-03-24T03:18:14Z</dcterms:created>
  <dcterms:modified xsi:type="dcterms:W3CDTF">2020-06-19T02:45:19Z</dcterms:modified>
  <cp:lastModifiedBy>Richard</cp:lastModifiedBy>
  <cp:lastPrinted>2020-06-18T08:32:03Z</cp:lastPrinted>
</cp:coreProperties>
</file>