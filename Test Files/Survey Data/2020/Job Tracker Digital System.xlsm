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jwal_000\PycharmProjects\Survey Assist\Test Files\Survey Data\2020\"/>
    </mc:Choice>
  </mc:AlternateContent>
  <xr:revisionPtr revIDLastSave="0" documentId="13_ncr:1_{D7C80F9A-9E39-467F-AC42-2FBA437EF1B2}" xr6:coauthVersionLast="45" xr6:coauthVersionMax="45" xr10:uidLastSave="{00000000-0000-0000-0000-000000000000}"/>
  <bookViews>
    <workbookView xWindow="29040" yWindow="255" windowWidth="21735" windowHeight="19605" xr2:uid="{00000000-000D-0000-FFFF-FFFF00000000}"/>
  </bookViews>
  <sheets>
    <sheet name="Actions" sheetId="1" r:id="rId1"/>
    <sheet name="Completed" sheetId="2" r:id="rId2"/>
  </sheets>
  <definedNames>
    <definedName name="Complete">Actions!$D$85:$H$85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2" i="1" l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9" i="1"/>
  <c r="B9" i="1"/>
</calcChain>
</file>

<file path=xl/sharedStrings.xml><?xml version="1.0" encoding="utf-8"?>
<sst xmlns="http://schemas.openxmlformats.org/spreadsheetml/2006/main" count="167" uniqueCount="87">
  <si>
    <t>Job Processing Tacker</t>
  </si>
  <si>
    <t>Information</t>
  </si>
  <si>
    <t>Results Link</t>
  </si>
  <si>
    <t>S:\Cordeaux\Surv_SD\Survey Results</t>
  </si>
  <si>
    <t>Calcs 2020 Link</t>
  </si>
  <si>
    <t>S:\Cordeaux\Surv_SD\Survey Data\2020\MONITORING</t>
  </si>
  <si>
    <t>NOTE: Enter '1' in cell that has been completed.</t>
  </si>
  <si>
    <t xml:space="preserve">NOTE: Enter '2' in cell that doesn’t apply. </t>
  </si>
  <si>
    <t xml:space="preserve">Survey </t>
  </si>
  <si>
    <t>Survey Date</t>
  </si>
  <si>
    <t>Initials</t>
  </si>
  <si>
    <t>Calcs</t>
  </si>
  <si>
    <t xml:space="preserve">Results </t>
  </si>
  <si>
    <t>Checked</t>
  </si>
  <si>
    <t>Sent</t>
  </si>
  <si>
    <t>XML</t>
  </si>
  <si>
    <t>Outstanding/Notes</t>
  </si>
  <si>
    <t>% Complete</t>
  </si>
  <si>
    <t>dsfdsf</t>
  </si>
  <si>
    <t>18/06/2020</t>
  </si>
  <si>
    <t>RW</t>
  </si>
  <si>
    <t>fdgfdg</t>
  </si>
  <si>
    <t>24 Wrightson Way Shed GMs</t>
  </si>
  <si>
    <t>12/06/2020</t>
  </si>
  <si>
    <t>HO</t>
  </si>
  <si>
    <t>STIS Hole Setup RTK</t>
  </si>
  <si>
    <t>A9 Menangle Rd Cutting</t>
  </si>
  <si>
    <t>A9 Menangle Rd</t>
  </si>
  <si>
    <t>A9 ARTC Embankment@74.7</t>
  </si>
  <si>
    <t>A9 ARTC Long Bay/Rail Creep</t>
  </si>
  <si>
    <t>A9 ARTC Culvert@74.7</t>
  </si>
  <si>
    <t>A9 ARTC 2D-3D</t>
  </si>
  <si>
    <t>24 Wrightson Way + Install</t>
  </si>
  <si>
    <t>AA9 Menangle Road Cutting</t>
  </si>
  <si>
    <t>DP</t>
  </si>
  <si>
    <t>10 Wrightson Way + Install</t>
  </si>
  <si>
    <t xml:space="preserve">AA9 Menangle Road 3D </t>
  </si>
  <si>
    <t>Swamp 23</t>
  </si>
  <si>
    <t>LA2 RB 2 &amp; 13</t>
  </si>
  <si>
    <t>Harris Creek Cliff Lines</t>
  </si>
  <si>
    <t>AA9 Endeavour Poles</t>
  </si>
  <si>
    <t>20 Wrightson Way + Install</t>
  </si>
  <si>
    <t>AA7 Menangle Road 3D</t>
  </si>
  <si>
    <t>AA9 Far Field</t>
  </si>
  <si>
    <t>RW/DP</t>
  </si>
  <si>
    <t>Nep X Lines</t>
  </si>
  <si>
    <t>A9 Menangle Road Cutting</t>
  </si>
  <si>
    <t>A9 Menangle Road</t>
  </si>
  <si>
    <t>Emb and Cul 74.7km</t>
  </si>
  <si>
    <t>LB/RC</t>
  </si>
  <si>
    <t>A9 ARTC 2D</t>
  </si>
  <si>
    <t xml:space="preserve">Boreholes Dend </t>
  </si>
  <si>
    <t>Avon Dam (NDC X) A, E</t>
  </si>
  <si>
    <t>ARTC 2D</t>
  </si>
  <si>
    <t>Raumer Property</t>
  </si>
  <si>
    <t xml:space="preserve">Avon Dam (NDC X) B, C, D </t>
  </si>
  <si>
    <t>MA/HO</t>
  </si>
  <si>
    <t>HCCL Survey</t>
  </si>
  <si>
    <t>Menangle Road 2D + Cutting</t>
  </si>
  <si>
    <t>AA9 ARTC 3D</t>
  </si>
  <si>
    <t>955 Menangle Road Property</t>
  </si>
  <si>
    <t>Menangle Road 3D + Cutting</t>
  </si>
  <si>
    <t>AA7 69km Embankment RTK</t>
  </si>
  <si>
    <t>MA</t>
  </si>
  <si>
    <t>25 Wrightson Way+ Install</t>
  </si>
  <si>
    <t>Base Survey (results created)</t>
  </si>
  <si>
    <t>31 Wrightson Way+ Install</t>
  </si>
  <si>
    <t>WC15 Rockbars 9, 28, 34</t>
  </si>
  <si>
    <t>Waterfall 54</t>
  </si>
  <si>
    <t>AA7 POSI</t>
  </si>
  <si>
    <t>37 Wrightsons Way + Install</t>
  </si>
  <si>
    <t>Dend Far Field GPS</t>
  </si>
  <si>
    <t>Wonga Cross Lines (2 days)</t>
  </si>
  <si>
    <t>HCCL Sensor Pickup RTK</t>
  </si>
  <si>
    <t>Endeavour Poles</t>
  </si>
  <si>
    <t>AA9 POSI</t>
  </si>
  <si>
    <t xml:space="preserve">ARTC3D </t>
  </si>
  <si>
    <t>DA3b Far Field</t>
  </si>
  <si>
    <t>Menangle Road 3D</t>
  </si>
  <si>
    <t>Boreholes S2488A &amp; S2492</t>
  </si>
  <si>
    <t>Avon GPS + Install</t>
  </si>
  <si>
    <t>785 Menangle Road (upper)</t>
  </si>
  <si>
    <t>785 Menangle Road (lower)</t>
  </si>
  <si>
    <t>Nep X</t>
  </si>
  <si>
    <t>870 Menangle Road</t>
  </si>
  <si>
    <t xml:space="preserve">Dam Height 0mm </t>
  </si>
  <si>
    <t>test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</si>
</sst>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0000"/>
      <name val="Copperplate Gothic Bold"/>
      <family val="2"/>
    </font>
    <font>
      <sz val="11"/>
      <color rgb="FFFFFF00"/>
      <name val="Calibri"/>
      <family val="2"/>
      <scheme val="minor"/>
    </font>
    <font>
      <sz val="11"/>
      <color rgb="FF70AD47"/>
      <name val="Calibri"/>
      <family val="2"/>
      <scheme val="minor"/>
    </font>
    <font>
      <b/>
      <sz val="36"/>
      <color theme="5" tint="-0.249977111117893"/>
      <name val="72 Light"/>
      <family val="2"/>
    </font>
    <font>
      <sz val="11"/>
      <color rgb="FFFF0000"/>
      <name val="Calibri"/>
    </font>
    <font>
      <sz val="11"/>
      <color rgb="FFFF0000"/>
      <name val="Calibri"/>
    </font>
    <font>
      <sz val="11"/>
      <color theme="4"/>
      <name val="Webdings"/>
      <family val="1"/>
      <charset val="2"/>
    </font>
    <font>
      <sz val="11"/>
      <color rgb="FFFF0000"/>
      <name val="Calibri"/>
    </font>
    <font>
      <sz val="11"/>
      <color rgb="FF00B050"/>
      <name val="Calibri"/>
    </font>
    <font>
      <sz val="11"/>
      <color rgb="FF4472C4"/>
      <name val="Webdings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42">
    <xf numFmtId="0" fontId="0" fillId="0" borderId="0" xfId="0"/>
    <xf numFmtId="0" fontId="2" fillId="0" borderId="0" xfId="0" applyFont="1"/>
    <xf numFmtId="0" fontId="4" fillId="0" borderId="0" xfId="0" applyFont="1"/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7" fillId="0" borderId="7" xfId="1" applyFont="1" applyBorder="1" applyAlignment="1">
      <alignment horizontal="left"/>
    </xf>
    <xf numFmtId="0" fontId="5" fillId="0" borderId="7" xfId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6" fillId="0" borderId="9" xfId="0" applyFont="1" applyBorder="1" applyAlignment="1">
      <alignment horizontal="center"/>
    </xf>
    <xf numFmtId="14" fontId="8" fillId="0" borderId="0" xfId="0" applyNumberFormat="1" applyFont="1" applyAlignment="1">
      <alignment horizontal="center"/>
    </xf>
    <xf numFmtId="0" fontId="1" fillId="0" borderId="10" xfId="0" applyFont="1" applyBorder="1" applyAlignment="1">
      <alignment horizontal="center"/>
    </xf>
    <xf numFmtId="14" fontId="0" fillId="0" borderId="0" xfId="0" applyNumberForma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1" applyFont="1" applyAlignment="1">
      <alignment horizontal="left"/>
    </xf>
    <xf numFmtId="0" fontId="8" fillId="0" borderId="0" xfId="1" applyFont="1" applyAlignment="1">
      <alignment horizontal="left"/>
    </xf>
    <xf numFmtId="0" fontId="8" fillId="0" borderId="7" xfId="1" applyFont="1" applyBorder="1" applyAlignment="1">
      <alignment horizontal="left"/>
    </xf>
    <xf numFmtId="0" fontId="10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4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14" fontId="14" fillId="0" borderId="0" xfId="0" applyNumberFormat="1" applyFont="1" applyAlignment="1">
      <alignment horizontal="center"/>
    </xf>
    <xf numFmtId="0" fontId="15" fillId="0" borderId="0" xfId="0" applyFont="1"/>
    <xf numFmtId="0" fontId="5" fillId="0" borderId="0" xfId="1" applyAlignment="1">
      <alignment horizontal="left"/>
    </xf>
    <xf numFmtId="0" fontId="0" fillId="0" borderId="0" xfId="0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5" fillId="0" borderId="0" xfId="1" applyAlignment="1">
      <alignment horizontal="left"/>
    </xf>
    <xf numFmtId="0" fontId="0" fillId="0" borderId="0" xfId="0"/>
    <xf numFmtId="0" fontId="12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38100</xdr:rowOff>
        </xdr:from>
        <xdr:to>
          <xdr:col>9</xdr:col>
          <xdr:colOff>1447800</xdr:colOff>
          <xdr:row>7</xdr:row>
          <xdr:rowOff>161925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41EDB97-7956-40D9-9EA2-EF905D1B9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opperplate Gothic Bold"/>
                </a:rPr>
                <a:t>New Job, Who Dis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ONITORING" TargetMode="External"/><Relationship Id="rId1" Type="http://schemas.openxmlformats.org/officeDocument/2006/relationships/hyperlink" Target="..\..\Survey%20Results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7"/>
  <sheetViews>
    <sheetView tabSelected="1" workbookViewId="0">
      <selection activeCell="A9" sqref="A9"/>
    </sheetView>
  </sheetViews>
  <sheetFormatPr defaultRowHeight="15"/>
  <cols>
    <col min="1" max="1" width="30.42578125" style="35" customWidth="1"/>
    <col min="2" max="8" width="11.7109375" style="35" customWidth="1"/>
    <col min="9" max="9" width="30.7109375" style="35" customWidth="1"/>
    <col min="10" max="10" width="22.42578125" style="35" customWidth="1"/>
    <col min="12" max="12" width="12.5703125" style="35" bestFit="1" customWidth="1"/>
    <col min="13" max="13" width="15.7109375" style="35" customWidth="1"/>
  </cols>
  <sheetData>
    <row r="1" spans="1:10" ht="51.75" customHeight="1">
      <c r="A1" s="41" t="s">
        <v>0</v>
      </c>
      <c r="B1" s="40"/>
      <c r="C1" s="40"/>
      <c r="D1" s="40"/>
      <c r="E1" s="40"/>
      <c r="F1" s="40"/>
      <c r="G1" s="40"/>
      <c r="H1" s="40"/>
      <c r="I1" s="40"/>
      <c r="J1" s="40"/>
    </row>
    <row r="2" spans="1:10" ht="19.5" customHeight="1" thickBot="1">
      <c r="A2" s="1"/>
      <c r="B2" s="1"/>
      <c r="C2" s="1"/>
      <c r="D2" s="2" t="b">
        <v>1</v>
      </c>
    </row>
    <row r="3" spans="1:10">
      <c r="A3" s="17" t="s">
        <v>1</v>
      </c>
      <c r="B3" s="8"/>
      <c r="C3" s="8"/>
      <c r="D3" s="8"/>
      <c r="E3" s="8"/>
      <c r="F3" s="8"/>
      <c r="G3" s="8"/>
      <c r="H3" s="8"/>
      <c r="I3" s="8"/>
      <c r="J3" s="9"/>
    </row>
    <row r="4" spans="1:10">
      <c r="A4" s="10"/>
      <c r="J4" s="11"/>
    </row>
    <row r="5" spans="1:10">
      <c r="A5" s="10" t="s">
        <v>2</v>
      </c>
      <c r="B5" s="39" t="s">
        <v>3</v>
      </c>
      <c r="C5" s="40"/>
      <c r="D5" s="40"/>
      <c r="E5" s="40"/>
      <c r="F5" s="40"/>
      <c r="J5" s="11"/>
    </row>
    <row r="6" spans="1:10">
      <c r="A6" s="10" t="s">
        <v>4</v>
      </c>
      <c r="B6" s="39" t="s">
        <v>5</v>
      </c>
      <c r="C6" s="40"/>
      <c r="D6" s="40"/>
      <c r="E6" s="40"/>
      <c r="F6" s="40"/>
      <c r="J6" s="11"/>
    </row>
    <row r="7" spans="1:10">
      <c r="A7" s="10"/>
      <c r="B7" s="24" t="s">
        <v>6</v>
      </c>
      <c r="C7" s="23"/>
      <c r="D7" s="34"/>
      <c r="E7" s="34"/>
      <c r="F7" s="34"/>
      <c r="J7" s="11"/>
    </row>
    <row r="8" spans="1:10" ht="15.75" customHeight="1" thickBot="1">
      <c r="A8" s="12"/>
      <c r="B8" s="25" t="s">
        <v>7</v>
      </c>
      <c r="C8" s="13"/>
      <c r="D8" s="14"/>
      <c r="E8" s="14"/>
      <c r="F8" s="14"/>
      <c r="G8" s="15"/>
      <c r="H8" s="15"/>
      <c r="I8" s="15"/>
      <c r="J8" s="16"/>
    </row>
    <row r="9" spans="1:10" ht="15.75" customHeight="1">
      <c r="B9" s="29">
        <f ca="1">TODAY()</f>
        <v>44000</v>
      </c>
      <c r="C9" s="29"/>
      <c r="D9" s="18"/>
      <c r="E9" s="18"/>
      <c r="F9" s="18"/>
      <c r="G9" s="18"/>
      <c r="H9" s="18"/>
      <c r="J9" s="33" t="str">
        <f>IF(SUM(D9:H9)&gt;5,REPT("g",10),(REPT("g",SUM(D9:H9)*2)))</f>
        <v/>
      </c>
    </row>
    <row r="10" spans="1:10">
      <c r="A10" s="5" t="s">
        <v>8</v>
      </c>
      <c r="B10" s="4" t="s">
        <v>9</v>
      </c>
      <c r="C10" s="20" t="s">
        <v>10</v>
      </c>
      <c r="D10" s="20" t="s">
        <v>11</v>
      </c>
      <c r="E10" s="20" t="s">
        <v>12</v>
      </c>
      <c r="F10" s="20" t="s">
        <v>13</v>
      </c>
      <c r="G10" s="20" t="s">
        <v>14</v>
      </c>
      <c r="H10" s="20" t="s">
        <v>15</v>
      </c>
      <c r="I10" s="4" t="s">
        <v>16</v>
      </c>
      <c r="J10" s="4" t="s">
        <v>17</v>
      </c>
    </row>
    <row r="11" spans="1:10" ht="15.75" customHeight="1">
      <c r="A11" t="s">
        <v>18</v>
      </c>
      <c r="B11" s="30" t="s">
        <v>19</v>
      </c>
      <c r="C11" s="36" t="s">
        <v>20</v>
      </c>
      <c r="D11" s="37">
        <v>1</v>
      </c>
      <c r="E11" s="37">
        <v>1</v>
      </c>
      <c r="F11" s="35">
        <v>1</v>
      </c>
      <c r="G11" s="35">
        <v>1</v>
      </c>
      <c r="H11" s="35">
        <v>1</v>
      </c>
      <c r="I11" s="35" t="s">
        <v>86</v>
      </c>
      <c r="J11" s="38" t="str">
        <f t="shared" ref="J11:J42" si="0">IF(SUM(D11:H11) &gt; 5, REPT("g", 10), (REPT("g", SUM(D11:H11) * 2)))</f>
        <v>gggggggggg</v>
      </c>
    </row>
    <row r="12" spans="1:10" ht="15.75" customHeight="1">
      <c r="A12" t="s">
        <v>21</v>
      </c>
      <c r="B12" s="30" t="s">
        <v>19</v>
      </c>
      <c r="C12" s="31" t="s">
        <v>20</v>
      </c>
      <c r="J12" s="38" t="str">
        <f t="shared" si="0"/>
        <v/>
      </c>
    </row>
    <row r="13" spans="1:10" ht="15.75" customHeight="1">
      <c r="A13" s="6" t="s">
        <v>22</v>
      </c>
      <c r="B13" s="7" t="s">
        <v>23</v>
      </c>
      <c r="C13" s="32" t="s">
        <v>24</v>
      </c>
      <c r="D13" s="18"/>
      <c r="E13" s="18"/>
      <c r="F13" s="18"/>
      <c r="G13" s="18"/>
      <c r="H13" s="18"/>
      <c r="J13" s="38" t="str">
        <f t="shared" si="0"/>
        <v/>
      </c>
    </row>
    <row r="14" spans="1:10" ht="15.75" customHeight="1">
      <c r="A14" s="6" t="s">
        <v>25</v>
      </c>
      <c r="B14" s="7">
        <v>43994</v>
      </c>
      <c r="C14" s="19" t="s">
        <v>24</v>
      </c>
      <c r="D14" s="18"/>
      <c r="E14" s="18"/>
      <c r="F14" s="18"/>
      <c r="G14" s="18"/>
      <c r="H14" s="18"/>
      <c r="J14" s="38" t="str">
        <f t="shared" si="0"/>
        <v/>
      </c>
    </row>
    <row r="15" spans="1:10" ht="15.75" customHeight="1">
      <c r="A15" s="21" t="s">
        <v>26</v>
      </c>
      <c r="B15" s="7">
        <v>43992</v>
      </c>
      <c r="C15" s="29" t="s">
        <v>20</v>
      </c>
      <c r="D15" s="18">
        <v>1</v>
      </c>
      <c r="E15" s="18">
        <v>1</v>
      </c>
      <c r="F15" s="28"/>
      <c r="G15" s="28"/>
      <c r="H15" s="28"/>
      <c r="I15" s="4"/>
      <c r="J15" s="38" t="str">
        <f t="shared" si="0"/>
        <v>gggg</v>
      </c>
    </row>
    <row r="16" spans="1:10" ht="15.75" customHeight="1">
      <c r="A16" s="21" t="s">
        <v>27</v>
      </c>
      <c r="B16" s="7">
        <v>43992</v>
      </c>
      <c r="C16" s="29" t="s">
        <v>20</v>
      </c>
      <c r="D16" s="18">
        <v>1</v>
      </c>
      <c r="E16" s="18">
        <v>1</v>
      </c>
      <c r="F16" s="28"/>
      <c r="G16" s="28"/>
      <c r="H16" s="28"/>
      <c r="I16" s="4"/>
      <c r="J16" s="38" t="str">
        <f t="shared" si="0"/>
        <v>gggg</v>
      </c>
    </row>
    <row r="17" spans="1:10" ht="15.75" customHeight="1">
      <c r="A17" s="6" t="s">
        <v>28</v>
      </c>
      <c r="B17" s="7">
        <v>43991</v>
      </c>
      <c r="C17" s="29" t="s">
        <v>20</v>
      </c>
      <c r="D17" s="18">
        <v>1</v>
      </c>
      <c r="E17" s="18">
        <v>1</v>
      </c>
      <c r="F17" s="18">
        <v>1</v>
      </c>
      <c r="G17" s="18">
        <v>1</v>
      </c>
      <c r="H17" s="18">
        <v>1</v>
      </c>
      <c r="J17" s="38" t="str">
        <f t="shared" si="0"/>
        <v>gggggggggg</v>
      </c>
    </row>
    <row r="18" spans="1:10" ht="15.75" customHeight="1">
      <c r="A18" s="6" t="s">
        <v>29</v>
      </c>
      <c r="B18" s="7">
        <v>43991</v>
      </c>
      <c r="C18" s="29" t="s">
        <v>20</v>
      </c>
      <c r="D18" s="18">
        <v>1</v>
      </c>
      <c r="E18" s="18">
        <v>1</v>
      </c>
      <c r="F18" s="18">
        <v>1</v>
      </c>
      <c r="G18" s="18">
        <v>1</v>
      </c>
      <c r="H18" s="18">
        <v>1</v>
      </c>
      <c r="J18" s="38" t="str">
        <f t="shared" si="0"/>
        <v>gggggggggg</v>
      </c>
    </row>
    <row r="19" spans="1:10" ht="15.75" customHeight="1">
      <c r="A19" s="6" t="s">
        <v>30</v>
      </c>
      <c r="B19" s="7">
        <v>43991</v>
      </c>
      <c r="C19" s="29" t="s">
        <v>20</v>
      </c>
      <c r="D19" s="18">
        <v>1</v>
      </c>
      <c r="E19" s="18">
        <v>1</v>
      </c>
      <c r="F19" s="18">
        <v>1</v>
      </c>
      <c r="G19" s="18">
        <v>1</v>
      </c>
      <c r="H19" s="18">
        <v>1</v>
      </c>
      <c r="J19" s="38" t="str">
        <f t="shared" si="0"/>
        <v>gggggggggg</v>
      </c>
    </row>
    <row r="20" spans="1:10" ht="15.75" customHeight="1">
      <c r="A20" s="6" t="s">
        <v>31</v>
      </c>
      <c r="B20" s="7">
        <v>43991</v>
      </c>
      <c r="C20" s="29" t="s">
        <v>20</v>
      </c>
      <c r="D20" s="18">
        <v>1</v>
      </c>
      <c r="E20" s="18">
        <v>1</v>
      </c>
      <c r="F20" s="18">
        <v>1</v>
      </c>
      <c r="G20" s="18">
        <v>1</v>
      </c>
      <c r="H20" s="18">
        <v>1</v>
      </c>
      <c r="J20" s="38" t="str">
        <f t="shared" si="0"/>
        <v>gggggggggg</v>
      </c>
    </row>
    <row r="21" spans="1:10" ht="15.75" customHeight="1">
      <c r="A21" s="6" t="s">
        <v>32</v>
      </c>
      <c r="B21" s="7">
        <v>43987</v>
      </c>
      <c r="C21" s="29" t="s">
        <v>24</v>
      </c>
      <c r="D21" s="18">
        <v>1</v>
      </c>
      <c r="E21" s="18">
        <v>1</v>
      </c>
      <c r="F21" s="18"/>
      <c r="G21" s="18"/>
      <c r="H21" s="26">
        <v>2</v>
      </c>
      <c r="J21" s="38" t="str">
        <f t="shared" si="0"/>
        <v>gggggggg</v>
      </c>
    </row>
    <row r="22" spans="1:10" ht="15.75" customHeight="1">
      <c r="A22" s="6" t="s">
        <v>33</v>
      </c>
      <c r="B22" s="7">
        <v>43985</v>
      </c>
      <c r="C22" s="29" t="s">
        <v>34</v>
      </c>
      <c r="D22" s="18">
        <v>1</v>
      </c>
      <c r="E22" s="18">
        <v>1</v>
      </c>
      <c r="F22" s="18">
        <v>1</v>
      </c>
      <c r="G22" s="18">
        <v>1</v>
      </c>
      <c r="H22" s="27">
        <v>1</v>
      </c>
      <c r="J22" s="38" t="str">
        <f t="shared" si="0"/>
        <v>gggggggggg</v>
      </c>
    </row>
    <row r="23" spans="1:10" ht="15.75" customHeight="1">
      <c r="A23" s="6" t="s">
        <v>35</v>
      </c>
      <c r="B23" s="7">
        <v>43986</v>
      </c>
      <c r="C23" s="29" t="s">
        <v>24</v>
      </c>
      <c r="D23" s="18">
        <v>1</v>
      </c>
      <c r="E23" s="18">
        <v>1</v>
      </c>
      <c r="F23" s="18"/>
      <c r="G23" s="18"/>
      <c r="H23" s="26">
        <v>2</v>
      </c>
      <c r="J23" s="38" t="str">
        <f t="shared" si="0"/>
        <v>gggggggg</v>
      </c>
    </row>
    <row r="24" spans="1:10" ht="15.75" customHeight="1">
      <c r="A24" s="6" t="s">
        <v>36</v>
      </c>
      <c r="B24" s="7">
        <v>43985</v>
      </c>
      <c r="C24" s="29" t="s">
        <v>34</v>
      </c>
      <c r="D24" s="18">
        <v>1</v>
      </c>
      <c r="E24" s="18">
        <v>1</v>
      </c>
      <c r="F24" s="18">
        <v>1</v>
      </c>
      <c r="G24" s="18">
        <v>1</v>
      </c>
      <c r="H24" s="18">
        <v>1</v>
      </c>
      <c r="J24" s="38" t="str">
        <f t="shared" si="0"/>
        <v>gggggggggg</v>
      </c>
    </row>
    <row r="25" spans="1:10" ht="15.75" customHeight="1">
      <c r="A25" s="6" t="s">
        <v>37</v>
      </c>
      <c r="B25" s="7">
        <v>43985</v>
      </c>
      <c r="C25" s="29" t="s">
        <v>24</v>
      </c>
      <c r="D25" s="18">
        <v>1</v>
      </c>
      <c r="E25" s="18">
        <v>1</v>
      </c>
      <c r="F25" s="18">
        <v>1</v>
      </c>
      <c r="G25" s="18">
        <v>1</v>
      </c>
      <c r="H25" s="18">
        <v>1</v>
      </c>
      <c r="J25" s="38" t="str">
        <f t="shared" si="0"/>
        <v>gggggggggg</v>
      </c>
    </row>
    <row r="26" spans="1:10" ht="15.75" customHeight="1">
      <c r="A26" s="6" t="s">
        <v>38</v>
      </c>
      <c r="B26" s="7">
        <v>43985</v>
      </c>
      <c r="C26" s="29" t="s">
        <v>24</v>
      </c>
      <c r="D26" s="18">
        <v>1</v>
      </c>
      <c r="E26" s="18">
        <v>1</v>
      </c>
      <c r="F26" s="18">
        <v>1</v>
      </c>
      <c r="G26" s="18">
        <v>1</v>
      </c>
      <c r="H26" s="18">
        <v>1</v>
      </c>
      <c r="J26" s="38" t="str">
        <f t="shared" si="0"/>
        <v>gggggggggg</v>
      </c>
    </row>
    <row r="27" spans="1:10" ht="15.75" customHeight="1">
      <c r="A27" s="6" t="s">
        <v>39</v>
      </c>
      <c r="B27" s="7">
        <v>43984</v>
      </c>
      <c r="C27" s="29" t="s">
        <v>24</v>
      </c>
      <c r="D27" s="18">
        <v>1</v>
      </c>
      <c r="E27" s="18">
        <v>1</v>
      </c>
      <c r="F27" s="18">
        <v>1</v>
      </c>
      <c r="G27" s="18">
        <v>1</v>
      </c>
      <c r="H27" s="26">
        <v>2</v>
      </c>
      <c r="J27" s="38" t="str">
        <f t="shared" si="0"/>
        <v>gggggggggg</v>
      </c>
    </row>
    <row r="28" spans="1:10" ht="15.75" customHeight="1">
      <c r="A28" s="6" t="s">
        <v>40</v>
      </c>
      <c r="B28" s="7">
        <v>43984</v>
      </c>
      <c r="C28" s="29" t="s">
        <v>24</v>
      </c>
      <c r="D28" s="18">
        <v>1</v>
      </c>
      <c r="E28" s="18">
        <v>1</v>
      </c>
      <c r="F28" s="18">
        <v>1</v>
      </c>
      <c r="G28" s="18">
        <v>1</v>
      </c>
      <c r="H28" s="18">
        <v>1</v>
      </c>
      <c r="J28" s="38" t="str">
        <f t="shared" si="0"/>
        <v>gggggggggg</v>
      </c>
    </row>
    <row r="29" spans="1:10" ht="15.75" customHeight="1">
      <c r="A29" s="6" t="s">
        <v>29</v>
      </c>
      <c r="B29" s="7">
        <v>43983</v>
      </c>
      <c r="C29" s="22" t="s">
        <v>20</v>
      </c>
      <c r="D29" s="18">
        <v>1</v>
      </c>
      <c r="E29" s="18">
        <v>1</v>
      </c>
      <c r="F29" s="18">
        <v>1</v>
      </c>
      <c r="G29" s="18">
        <v>1</v>
      </c>
      <c r="H29" s="26">
        <v>2</v>
      </c>
      <c r="J29" s="38" t="str">
        <f t="shared" si="0"/>
        <v>gggggggggg</v>
      </c>
    </row>
    <row r="30" spans="1:10" ht="15.75" customHeight="1">
      <c r="A30" s="6" t="s">
        <v>31</v>
      </c>
      <c r="B30" s="7">
        <v>43983</v>
      </c>
      <c r="C30" s="22" t="s">
        <v>20</v>
      </c>
      <c r="D30" s="18">
        <v>1</v>
      </c>
      <c r="E30" s="18">
        <v>1</v>
      </c>
      <c r="F30" s="18">
        <v>1</v>
      </c>
      <c r="G30" s="18">
        <v>1</v>
      </c>
      <c r="H30" s="18">
        <v>1</v>
      </c>
      <c r="J30" s="38" t="str">
        <f t="shared" si="0"/>
        <v>gggggggggg</v>
      </c>
    </row>
    <row r="31" spans="1:10" ht="15.75" customHeight="1">
      <c r="A31" s="6" t="s">
        <v>30</v>
      </c>
      <c r="B31" s="7">
        <v>43983</v>
      </c>
      <c r="C31" s="22" t="s">
        <v>20</v>
      </c>
      <c r="D31" s="18">
        <v>1</v>
      </c>
      <c r="E31" s="18">
        <v>1</v>
      </c>
      <c r="F31" s="18">
        <v>1</v>
      </c>
      <c r="G31" s="18">
        <v>1</v>
      </c>
      <c r="H31" s="18">
        <v>1</v>
      </c>
      <c r="J31" s="38" t="str">
        <f t="shared" si="0"/>
        <v>gggggggggg</v>
      </c>
    </row>
    <row r="32" spans="1:10" ht="15.75" customHeight="1">
      <c r="A32" s="6" t="s">
        <v>28</v>
      </c>
      <c r="B32" s="7">
        <v>43983</v>
      </c>
      <c r="C32" s="22" t="s">
        <v>20</v>
      </c>
      <c r="D32" s="18">
        <v>1</v>
      </c>
      <c r="E32" s="18">
        <v>1</v>
      </c>
      <c r="F32" s="18">
        <v>1</v>
      </c>
      <c r="G32" s="18">
        <v>1</v>
      </c>
      <c r="H32" s="18">
        <v>1</v>
      </c>
      <c r="J32" s="38" t="str">
        <f t="shared" si="0"/>
        <v>gggggggggg</v>
      </c>
    </row>
    <row r="33" spans="1:10" ht="15.75" customHeight="1">
      <c r="A33" s="6" t="s">
        <v>41</v>
      </c>
      <c r="B33" s="7">
        <v>43980</v>
      </c>
      <c r="C33" s="29" t="s">
        <v>24</v>
      </c>
      <c r="D33" s="18">
        <v>1</v>
      </c>
      <c r="E33" s="18">
        <v>1</v>
      </c>
      <c r="F33" s="18"/>
      <c r="G33" s="18"/>
      <c r="H33" s="26">
        <v>2</v>
      </c>
      <c r="J33" s="38" t="str">
        <f t="shared" si="0"/>
        <v>gggggggg</v>
      </c>
    </row>
    <row r="34" spans="1:10" ht="15.75" customHeight="1">
      <c r="A34" s="6" t="s">
        <v>42</v>
      </c>
      <c r="B34" s="7">
        <v>43979</v>
      </c>
      <c r="C34" s="29" t="s">
        <v>24</v>
      </c>
      <c r="D34" s="18">
        <v>1</v>
      </c>
      <c r="E34" s="18">
        <v>1</v>
      </c>
      <c r="F34" s="18">
        <v>1</v>
      </c>
      <c r="G34" s="18">
        <v>1</v>
      </c>
      <c r="H34" s="18"/>
      <c r="J34" s="38" t="str">
        <f t="shared" si="0"/>
        <v>gggggggg</v>
      </c>
    </row>
    <row r="35" spans="1:10" ht="15.75" customHeight="1">
      <c r="A35" s="6" t="s">
        <v>43</v>
      </c>
      <c r="B35" s="7">
        <v>43978</v>
      </c>
      <c r="C35" s="29" t="s">
        <v>44</v>
      </c>
      <c r="D35" s="18">
        <v>1</v>
      </c>
      <c r="E35" s="18">
        <v>1</v>
      </c>
      <c r="F35" s="18">
        <v>1</v>
      </c>
      <c r="G35" s="18">
        <v>1</v>
      </c>
      <c r="H35" s="18">
        <v>1</v>
      </c>
      <c r="J35" s="38" t="str">
        <f t="shared" si="0"/>
        <v>gggggggggg</v>
      </c>
    </row>
    <row r="36" spans="1:10" ht="15.75" customHeight="1">
      <c r="A36" s="6" t="s">
        <v>45</v>
      </c>
      <c r="B36" s="7">
        <v>43978</v>
      </c>
      <c r="C36" s="29" t="s">
        <v>24</v>
      </c>
      <c r="D36" s="18">
        <v>1</v>
      </c>
      <c r="E36" s="18">
        <v>1</v>
      </c>
      <c r="F36" s="18">
        <v>1</v>
      </c>
      <c r="G36" s="18">
        <v>1</v>
      </c>
      <c r="H36" s="18">
        <v>1</v>
      </c>
      <c r="J36" s="38" t="str">
        <f t="shared" si="0"/>
        <v>gggggggggg</v>
      </c>
    </row>
    <row r="37" spans="1:10" ht="15.75" customHeight="1">
      <c r="A37" s="6" t="s">
        <v>46</v>
      </c>
      <c r="B37" s="7">
        <v>43977</v>
      </c>
      <c r="C37" s="29" t="s">
        <v>20</v>
      </c>
      <c r="D37" s="18">
        <v>1</v>
      </c>
      <c r="E37" s="18">
        <v>1</v>
      </c>
      <c r="F37" s="18">
        <v>1</v>
      </c>
      <c r="G37" s="18">
        <v>1</v>
      </c>
      <c r="H37" s="26">
        <v>2</v>
      </c>
      <c r="J37" s="38" t="str">
        <f t="shared" si="0"/>
        <v>gggggggggg</v>
      </c>
    </row>
    <row r="38" spans="1:10" ht="15.75" customHeight="1">
      <c r="A38" s="6" t="s">
        <v>47</v>
      </c>
      <c r="B38" s="7">
        <v>43977</v>
      </c>
      <c r="C38" s="29" t="s">
        <v>20</v>
      </c>
      <c r="D38" s="18">
        <v>1</v>
      </c>
      <c r="E38" s="18">
        <v>1</v>
      </c>
      <c r="F38" s="18">
        <v>1</v>
      </c>
      <c r="G38" s="18">
        <v>1</v>
      </c>
      <c r="H38" s="18">
        <v>1</v>
      </c>
      <c r="J38" s="38" t="str">
        <f t="shared" si="0"/>
        <v>gggggggggg</v>
      </c>
    </row>
    <row r="39" spans="1:10" ht="15.75" customHeight="1">
      <c r="A39" s="6" t="s">
        <v>48</v>
      </c>
      <c r="B39" s="7">
        <v>43976</v>
      </c>
      <c r="C39" s="29" t="s">
        <v>34</v>
      </c>
      <c r="D39" s="18">
        <v>1</v>
      </c>
      <c r="E39" s="18">
        <v>1</v>
      </c>
      <c r="F39" s="18">
        <v>1</v>
      </c>
      <c r="G39" s="18">
        <v>1</v>
      </c>
      <c r="H39" s="18">
        <v>1</v>
      </c>
      <c r="J39" s="38" t="str">
        <f t="shared" si="0"/>
        <v>gggggggggg</v>
      </c>
    </row>
    <row r="40" spans="1:10" ht="15.75" customHeight="1">
      <c r="A40" s="6" t="s">
        <v>49</v>
      </c>
      <c r="B40" s="7">
        <v>43976</v>
      </c>
      <c r="C40" s="29" t="s">
        <v>34</v>
      </c>
      <c r="D40" s="18">
        <v>1</v>
      </c>
      <c r="E40" s="18">
        <v>1</v>
      </c>
      <c r="F40" s="18">
        <v>1</v>
      </c>
      <c r="G40" s="18">
        <v>1</v>
      </c>
      <c r="H40" s="18">
        <v>1</v>
      </c>
      <c r="J40" s="38" t="str">
        <f t="shared" si="0"/>
        <v>gggggggggg</v>
      </c>
    </row>
    <row r="41" spans="1:10" ht="15.75" customHeight="1">
      <c r="A41" s="6" t="s">
        <v>50</v>
      </c>
      <c r="B41" s="7">
        <v>43976</v>
      </c>
      <c r="C41" s="29" t="s">
        <v>20</v>
      </c>
      <c r="D41" s="18">
        <v>1</v>
      </c>
      <c r="E41" s="18">
        <v>1</v>
      </c>
      <c r="F41" s="18">
        <v>1</v>
      </c>
      <c r="G41" s="18">
        <v>1</v>
      </c>
      <c r="H41" s="18">
        <v>1</v>
      </c>
      <c r="J41" s="38" t="str">
        <f t="shared" si="0"/>
        <v>gggggggggg</v>
      </c>
    </row>
    <row r="42" spans="1:10" ht="15.75" customHeight="1">
      <c r="A42" s="6" t="s">
        <v>51</v>
      </c>
      <c r="B42" s="7">
        <v>43971</v>
      </c>
      <c r="C42" s="29" t="s">
        <v>34</v>
      </c>
      <c r="D42" s="18">
        <v>1</v>
      </c>
      <c r="E42" s="18"/>
      <c r="F42" s="18"/>
      <c r="G42" s="18"/>
      <c r="H42" s="26">
        <v>2</v>
      </c>
      <c r="J42" s="38" t="str">
        <f t="shared" si="0"/>
        <v>gggggg</v>
      </c>
    </row>
    <row r="43" spans="1:10" ht="15.75" customHeight="1">
      <c r="A43" s="21" t="s">
        <v>52</v>
      </c>
      <c r="B43" s="7">
        <v>43971</v>
      </c>
      <c r="C43" s="29" t="s">
        <v>24</v>
      </c>
      <c r="D43" s="18">
        <v>1</v>
      </c>
      <c r="E43" s="18">
        <v>1</v>
      </c>
      <c r="F43" s="18">
        <v>1</v>
      </c>
      <c r="G43" s="18">
        <v>1</v>
      </c>
      <c r="H43" s="18"/>
      <c r="J43" s="38" t="str">
        <f t="shared" ref="J43:J74" si="1">IF(SUM(D43:H43) &gt; 5, REPT("g", 10), (REPT("g", SUM(D43:H43) * 2)))</f>
        <v>gggggggg</v>
      </c>
    </row>
    <row r="44" spans="1:10" ht="15.75" customHeight="1">
      <c r="A44" s="21" t="s">
        <v>26</v>
      </c>
      <c r="B44" s="7">
        <v>43970</v>
      </c>
      <c r="C44" s="7" t="s">
        <v>20</v>
      </c>
      <c r="D44" s="18">
        <v>1</v>
      </c>
      <c r="E44" s="18">
        <v>1</v>
      </c>
      <c r="F44" s="18">
        <v>1</v>
      </c>
      <c r="G44" s="18">
        <v>1</v>
      </c>
      <c r="H44" s="18"/>
      <c r="J44" s="38" t="str">
        <f t="shared" si="1"/>
        <v>gggggggg</v>
      </c>
    </row>
    <row r="45" spans="1:10" ht="15.75" customHeight="1">
      <c r="A45" s="21" t="s">
        <v>27</v>
      </c>
      <c r="B45" s="7">
        <v>43970</v>
      </c>
      <c r="C45" s="7" t="s">
        <v>20</v>
      </c>
      <c r="D45" s="18">
        <v>1</v>
      </c>
      <c r="E45" s="18">
        <v>1</v>
      </c>
      <c r="F45" s="18">
        <v>1</v>
      </c>
      <c r="G45" s="18">
        <v>1</v>
      </c>
      <c r="H45" s="18">
        <v>1</v>
      </c>
      <c r="J45" s="38" t="str">
        <f t="shared" si="1"/>
        <v>gggggggggg</v>
      </c>
    </row>
    <row r="46" spans="1:10" ht="15.75" customHeight="1">
      <c r="A46" s="6" t="s">
        <v>53</v>
      </c>
      <c r="B46" s="7">
        <v>43969</v>
      </c>
      <c r="C46" s="7" t="s">
        <v>34</v>
      </c>
      <c r="D46" s="18">
        <v>1</v>
      </c>
      <c r="E46" s="18">
        <v>1</v>
      </c>
      <c r="F46" s="18">
        <v>1</v>
      </c>
      <c r="G46" s="18">
        <v>1</v>
      </c>
      <c r="H46" s="18">
        <v>1</v>
      </c>
      <c r="J46" s="38" t="str">
        <f t="shared" si="1"/>
        <v>gggggggggg</v>
      </c>
    </row>
    <row r="47" spans="1:10" ht="15.75" customHeight="1">
      <c r="A47" s="6" t="s">
        <v>54</v>
      </c>
      <c r="B47" s="7">
        <v>43966</v>
      </c>
      <c r="C47" s="7" t="s">
        <v>24</v>
      </c>
      <c r="D47" s="18">
        <v>1</v>
      </c>
      <c r="E47" s="18">
        <v>1</v>
      </c>
      <c r="F47" s="18"/>
      <c r="G47" s="18"/>
      <c r="H47" s="26">
        <v>2</v>
      </c>
      <c r="J47" s="38" t="str">
        <f t="shared" si="1"/>
        <v>gggggggg</v>
      </c>
    </row>
    <row r="48" spans="1:10" ht="15.75" customHeight="1">
      <c r="A48" s="21" t="s">
        <v>55</v>
      </c>
      <c r="B48" s="7">
        <v>43965</v>
      </c>
      <c r="C48" s="7" t="s">
        <v>56</v>
      </c>
      <c r="D48" s="18">
        <v>1</v>
      </c>
      <c r="E48" s="18">
        <v>1</v>
      </c>
      <c r="F48" s="18">
        <v>1</v>
      </c>
      <c r="G48" s="18">
        <v>1</v>
      </c>
      <c r="H48" s="18"/>
      <c r="J48" s="38" t="str">
        <f t="shared" si="1"/>
        <v>gggggggg</v>
      </c>
    </row>
    <row r="49" spans="1:10" ht="15.75" customHeight="1">
      <c r="A49" s="6" t="s">
        <v>57</v>
      </c>
      <c r="B49" s="7">
        <v>43964</v>
      </c>
      <c r="C49" s="7" t="s">
        <v>20</v>
      </c>
      <c r="D49" s="18">
        <v>1</v>
      </c>
      <c r="E49" s="18">
        <v>1</v>
      </c>
      <c r="F49" s="18">
        <v>1</v>
      </c>
      <c r="G49" s="18">
        <v>1</v>
      </c>
      <c r="H49" s="18">
        <v>1</v>
      </c>
      <c r="J49" s="38" t="str">
        <f t="shared" si="1"/>
        <v>gggggggggg</v>
      </c>
    </row>
    <row r="50" spans="1:10" ht="15.75" customHeight="1">
      <c r="A50" s="6" t="s">
        <v>58</v>
      </c>
      <c r="B50" s="7">
        <v>43963</v>
      </c>
      <c r="C50" s="7" t="s">
        <v>34</v>
      </c>
      <c r="D50" s="18">
        <v>1</v>
      </c>
      <c r="E50" s="18">
        <v>1</v>
      </c>
      <c r="F50" s="18">
        <v>1</v>
      </c>
      <c r="G50" s="18">
        <v>1</v>
      </c>
      <c r="H50" s="18">
        <v>1</v>
      </c>
      <c r="J50" s="38" t="str">
        <f t="shared" si="1"/>
        <v>gggggggggg</v>
      </c>
    </row>
    <row r="51" spans="1:10" ht="15.75" customHeight="1">
      <c r="A51" s="6" t="s">
        <v>59</v>
      </c>
      <c r="B51" s="7">
        <v>43962</v>
      </c>
      <c r="C51" s="7" t="s">
        <v>20</v>
      </c>
      <c r="D51" s="18">
        <v>1</v>
      </c>
      <c r="E51" s="18">
        <v>1</v>
      </c>
      <c r="F51" s="18">
        <v>1</v>
      </c>
      <c r="G51" s="18">
        <v>1</v>
      </c>
      <c r="H51" s="18">
        <v>1</v>
      </c>
      <c r="J51" s="38" t="str">
        <f t="shared" si="1"/>
        <v>gggggggggg</v>
      </c>
    </row>
    <row r="52" spans="1:10" ht="15.75" customHeight="1">
      <c r="A52" s="6" t="s">
        <v>60</v>
      </c>
      <c r="B52" s="7">
        <v>43959</v>
      </c>
      <c r="C52" s="7" t="s">
        <v>24</v>
      </c>
      <c r="D52" s="18">
        <v>1</v>
      </c>
      <c r="E52" s="18">
        <v>1</v>
      </c>
      <c r="F52" s="18"/>
      <c r="G52" s="18"/>
      <c r="H52" s="18"/>
      <c r="J52" s="38" t="str">
        <f t="shared" si="1"/>
        <v>gggg</v>
      </c>
    </row>
    <row r="53" spans="1:10" ht="15.75" customHeight="1">
      <c r="A53" s="6" t="s">
        <v>38</v>
      </c>
      <c r="B53" s="7">
        <v>43957</v>
      </c>
      <c r="C53" s="7" t="s">
        <v>24</v>
      </c>
      <c r="D53" s="18">
        <v>1</v>
      </c>
      <c r="E53" s="18">
        <v>1</v>
      </c>
      <c r="F53" s="18">
        <v>1</v>
      </c>
      <c r="G53" s="18">
        <v>1</v>
      </c>
      <c r="H53" s="18"/>
      <c r="J53" s="38" t="str">
        <f t="shared" si="1"/>
        <v>gggggggg</v>
      </c>
    </row>
    <row r="54" spans="1:10" ht="15.75" customHeight="1">
      <c r="A54" s="6" t="s">
        <v>61</v>
      </c>
      <c r="B54" s="7">
        <v>43956</v>
      </c>
      <c r="C54" s="7" t="s">
        <v>34</v>
      </c>
      <c r="D54" s="18">
        <v>1</v>
      </c>
      <c r="E54" s="18">
        <v>1</v>
      </c>
      <c r="F54" s="18">
        <v>1</v>
      </c>
      <c r="G54" s="18">
        <v>1</v>
      </c>
      <c r="H54" s="18"/>
      <c r="J54" s="38" t="str">
        <f t="shared" si="1"/>
        <v>gggggggg</v>
      </c>
    </row>
    <row r="55" spans="1:10" ht="15.75" customHeight="1">
      <c r="A55" s="6" t="s">
        <v>62</v>
      </c>
      <c r="B55" s="7">
        <v>43956</v>
      </c>
      <c r="C55" s="7" t="s">
        <v>63</v>
      </c>
      <c r="D55" s="18"/>
      <c r="E55" s="18"/>
      <c r="F55" s="18"/>
      <c r="G55" s="18"/>
      <c r="H55" s="18"/>
      <c r="J55" s="38" t="str">
        <f t="shared" si="1"/>
        <v/>
      </c>
    </row>
    <row r="56" spans="1:10" ht="15.75" customHeight="1">
      <c r="A56" s="6" t="s">
        <v>53</v>
      </c>
      <c r="B56" s="7">
        <v>43955</v>
      </c>
      <c r="C56" s="7" t="s">
        <v>20</v>
      </c>
      <c r="D56" s="18">
        <v>1</v>
      </c>
      <c r="E56" s="18">
        <v>1</v>
      </c>
      <c r="F56" s="18">
        <v>1</v>
      </c>
      <c r="G56" s="18">
        <v>1</v>
      </c>
      <c r="H56" s="18"/>
      <c r="J56" s="38" t="str">
        <f t="shared" si="1"/>
        <v>gggggggg</v>
      </c>
    </row>
    <row r="57" spans="1:10" ht="15.75" customHeight="1">
      <c r="A57" s="6" t="s">
        <v>64</v>
      </c>
      <c r="B57" s="7">
        <v>43952</v>
      </c>
      <c r="C57" s="7" t="s">
        <v>24</v>
      </c>
      <c r="D57" s="18">
        <v>1</v>
      </c>
      <c r="E57" s="18">
        <v>1</v>
      </c>
      <c r="F57" s="18">
        <v>1</v>
      </c>
      <c r="G57" s="18">
        <v>1</v>
      </c>
      <c r="H57" s="26">
        <v>2</v>
      </c>
      <c r="I57" t="s">
        <v>65</v>
      </c>
      <c r="J57" s="38" t="str">
        <f t="shared" si="1"/>
        <v>gggggggggg</v>
      </c>
    </row>
    <row r="58" spans="1:10" ht="15.75" customHeight="1">
      <c r="A58" s="6" t="s">
        <v>66</v>
      </c>
      <c r="B58" s="7">
        <v>-5</v>
      </c>
      <c r="C58" s="7" t="s">
        <v>24</v>
      </c>
      <c r="D58" s="18">
        <v>1</v>
      </c>
      <c r="E58" s="18">
        <v>1</v>
      </c>
      <c r="F58" s="18">
        <v>1</v>
      </c>
      <c r="G58" s="18">
        <v>1</v>
      </c>
      <c r="H58" s="26">
        <v>2</v>
      </c>
      <c r="I58" t="s">
        <v>65</v>
      </c>
      <c r="J58" s="38" t="str">
        <f t="shared" si="1"/>
        <v>gggggggggg</v>
      </c>
    </row>
    <row r="59" spans="1:10" ht="15.75" customHeight="1">
      <c r="A59" s="6" t="s">
        <v>45</v>
      </c>
      <c r="B59" s="7">
        <v>43950</v>
      </c>
      <c r="C59" s="7"/>
      <c r="D59" s="18">
        <v>1</v>
      </c>
      <c r="E59" s="18">
        <v>1</v>
      </c>
      <c r="F59" s="18">
        <v>1</v>
      </c>
      <c r="G59" s="18">
        <v>1</v>
      </c>
      <c r="H59" s="18">
        <v>1</v>
      </c>
      <c r="J59" s="38" t="str">
        <f t="shared" si="1"/>
        <v>gggggggggg</v>
      </c>
    </row>
    <row r="60" spans="1:10" ht="15.75" customHeight="1">
      <c r="A60" s="6" t="s">
        <v>43</v>
      </c>
      <c r="B60" s="7">
        <v>43950</v>
      </c>
      <c r="C60" s="7"/>
      <c r="D60" s="18">
        <v>1</v>
      </c>
      <c r="E60" s="18">
        <v>1</v>
      </c>
      <c r="F60" s="18">
        <v>1</v>
      </c>
      <c r="G60" s="18">
        <v>1</v>
      </c>
      <c r="H60" s="18"/>
      <c r="J60" s="38" t="str">
        <f t="shared" si="1"/>
        <v>gggggggg</v>
      </c>
    </row>
    <row r="61" spans="1:10" ht="15.75" customHeight="1">
      <c r="A61" s="6" t="s">
        <v>58</v>
      </c>
      <c r="B61" s="7">
        <v>43949</v>
      </c>
      <c r="C61" s="7"/>
      <c r="D61" s="18">
        <v>1</v>
      </c>
      <c r="E61" s="18">
        <v>1</v>
      </c>
      <c r="F61" s="18">
        <v>1</v>
      </c>
      <c r="G61" s="18">
        <v>1</v>
      </c>
      <c r="H61" s="18"/>
      <c r="J61" s="38" t="str">
        <f t="shared" si="1"/>
        <v>gggggggg</v>
      </c>
    </row>
    <row r="62" spans="1:10" ht="15.75" customHeight="1">
      <c r="A62" s="6" t="s">
        <v>67</v>
      </c>
      <c r="B62" s="7">
        <v>43949</v>
      </c>
      <c r="C62" s="7"/>
      <c r="D62" s="18">
        <v>1</v>
      </c>
      <c r="E62" s="18">
        <v>1</v>
      </c>
      <c r="F62" s="18">
        <v>1</v>
      </c>
      <c r="G62" s="18">
        <v>1</v>
      </c>
      <c r="H62" s="18"/>
      <c r="J62" s="38" t="str">
        <f t="shared" si="1"/>
        <v>gggggggg</v>
      </c>
    </row>
    <row r="63" spans="1:10" ht="15.75" customHeight="1">
      <c r="A63" s="6" t="s">
        <v>53</v>
      </c>
      <c r="B63" s="7">
        <v>43948</v>
      </c>
      <c r="C63" s="7"/>
      <c r="D63" s="18">
        <v>1</v>
      </c>
      <c r="E63" s="18">
        <v>1</v>
      </c>
      <c r="F63" s="18">
        <v>1</v>
      </c>
      <c r="G63" s="18">
        <v>1</v>
      </c>
      <c r="H63" s="18"/>
      <c r="J63" s="38" t="str">
        <f t="shared" si="1"/>
        <v>gggggggg</v>
      </c>
    </row>
    <row r="64" spans="1:10" ht="15.75" customHeight="1">
      <c r="A64" s="6" t="s">
        <v>68</v>
      </c>
      <c r="B64" s="7">
        <v>43945</v>
      </c>
      <c r="C64" s="7"/>
      <c r="D64" s="18">
        <v>1</v>
      </c>
      <c r="E64" s="18">
        <v>1</v>
      </c>
      <c r="F64" s="18"/>
      <c r="G64" s="18"/>
      <c r="H64" s="18"/>
      <c r="J64" s="38" t="str">
        <f t="shared" si="1"/>
        <v>gggg</v>
      </c>
    </row>
    <row r="65" spans="1:10" ht="15.75" customHeight="1">
      <c r="A65" s="6" t="s">
        <v>69</v>
      </c>
      <c r="B65" s="7">
        <v>43945</v>
      </c>
      <c r="C65" s="7"/>
      <c r="D65" s="18"/>
      <c r="E65" s="18"/>
      <c r="F65" s="18"/>
      <c r="G65" s="18"/>
      <c r="H65" s="26">
        <v>2</v>
      </c>
      <c r="J65" s="38" t="str">
        <f t="shared" si="1"/>
        <v>gggg</v>
      </c>
    </row>
    <row r="66" spans="1:10" ht="15.75" customHeight="1">
      <c r="A66" s="6" t="s">
        <v>70</v>
      </c>
      <c r="B66" s="7">
        <v>43944</v>
      </c>
      <c r="C66" s="7"/>
      <c r="D66" s="18">
        <v>1</v>
      </c>
      <c r="E66" s="18">
        <v>1</v>
      </c>
      <c r="F66" s="18">
        <v>1</v>
      </c>
      <c r="G66" s="18">
        <v>1</v>
      </c>
      <c r="H66" s="26">
        <v>2</v>
      </c>
      <c r="I66" t="s">
        <v>65</v>
      </c>
      <c r="J66" s="38" t="str">
        <f t="shared" si="1"/>
        <v>gggggggggg</v>
      </c>
    </row>
    <row r="67" spans="1:10" ht="15.75" customHeight="1">
      <c r="A67" s="6" t="s">
        <v>37</v>
      </c>
      <c r="B67" s="7">
        <v>43943</v>
      </c>
      <c r="C67" s="7"/>
      <c r="D67" s="18">
        <v>1</v>
      </c>
      <c r="E67" s="18">
        <v>1</v>
      </c>
      <c r="F67" s="18">
        <v>1</v>
      </c>
      <c r="G67" s="18">
        <v>1</v>
      </c>
      <c r="H67" s="18"/>
      <c r="J67" s="38" t="str">
        <f t="shared" si="1"/>
        <v>gggggggg</v>
      </c>
    </row>
    <row r="68" spans="1:10" ht="15.75" customHeight="1">
      <c r="A68" s="6" t="s">
        <v>71</v>
      </c>
      <c r="B68" s="7">
        <v>43943</v>
      </c>
      <c r="C68" s="7"/>
      <c r="D68" s="18">
        <v>1</v>
      </c>
      <c r="E68" s="18"/>
      <c r="F68" s="18"/>
      <c r="G68" s="18"/>
      <c r="H68" s="18"/>
      <c r="J68" s="38" t="str">
        <f t="shared" si="1"/>
        <v>gg</v>
      </c>
    </row>
    <row r="69" spans="1:10" ht="15.75" customHeight="1">
      <c r="A69" s="6" t="s">
        <v>72</v>
      </c>
      <c r="B69" s="7">
        <v>43942</v>
      </c>
      <c r="C69" s="7"/>
      <c r="D69" s="18">
        <v>1</v>
      </c>
      <c r="E69" s="18">
        <v>1</v>
      </c>
      <c r="F69" s="18">
        <v>1</v>
      </c>
      <c r="G69" s="18">
        <v>1</v>
      </c>
      <c r="H69" s="18"/>
      <c r="J69" s="38" t="str">
        <f t="shared" si="1"/>
        <v>gggggggg</v>
      </c>
    </row>
    <row r="70" spans="1:10" ht="15.75" customHeight="1">
      <c r="A70" s="6" t="s">
        <v>58</v>
      </c>
      <c r="B70" s="7">
        <v>43942</v>
      </c>
      <c r="C70" s="7"/>
      <c r="D70" s="18">
        <v>1</v>
      </c>
      <c r="E70" s="18">
        <v>1</v>
      </c>
      <c r="F70" s="18">
        <v>1</v>
      </c>
      <c r="G70" s="18">
        <v>1</v>
      </c>
      <c r="H70" s="18"/>
      <c r="J70" s="38" t="str">
        <f t="shared" si="1"/>
        <v>gggggggg</v>
      </c>
    </row>
    <row r="71" spans="1:10" ht="15.75" customHeight="1">
      <c r="A71" t="s">
        <v>73</v>
      </c>
      <c r="B71" s="7">
        <v>43941</v>
      </c>
      <c r="C71" s="7"/>
      <c r="D71" s="18">
        <v>1</v>
      </c>
      <c r="E71" s="18">
        <v>1</v>
      </c>
      <c r="F71" s="18">
        <v>1</v>
      </c>
      <c r="G71" s="18">
        <v>1</v>
      </c>
      <c r="H71" s="26">
        <v>2</v>
      </c>
      <c r="J71" s="38" t="str">
        <f t="shared" si="1"/>
        <v>gggggggggg</v>
      </c>
    </row>
    <row r="72" spans="1:10" ht="15.75" customHeight="1">
      <c r="A72" s="6" t="s">
        <v>53</v>
      </c>
      <c r="B72" s="7">
        <v>43941</v>
      </c>
      <c r="C72" s="7"/>
      <c r="D72" s="18">
        <v>1</v>
      </c>
      <c r="E72" s="18">
        <v>1</v>
      </c>
      <c r="F72" s="18">
        <v>1</v>
      </c>
      <c r="G72" s="18">
        <v>1</v>
      </c>
      <c r="H72" s="18"/>
      <c r="J72" s="38" t="str">
        <f t="shared" si="1"/>
        <v>gggggggg</v>
      </c>
    </row>
    <row r="73" spans="1:10" ht="15.75" customHeight="1">
      <c r="A73" s="6" t="s">
        <v>39</v>
      </c>
      <c r="B73" s="7">
        <v>43938</v>
      </c>
      <c r="C73" s="7"/>
      <c r="D73" s="18">
        <v>1</v>
      </c>
      <c r="E73" s="18">
        <v>1</v>
      </c>
      <c r="F73" s="18">
        <v>1</v>
      </c>
      <c r="G73" s="18">
        <v>1</v>
      </c>
      <c r="H73" s="18"/>
      <c r="J73" s="38" t="str">
        <f t="shared" si="1"/>
        <v>gggggggg</v>
      </c>
    </row>
    <row r="74" spans="1:10" ht="15.75" customHeight="1">
      <c r="A74" s="6" t="s">
        <v>74</v>
      </c>
      <c r="B74" s="7">
        <v>43938</v>
      </c>
      <c r="C74" s="7"/>
      <c r="D74" s="18">
        <v>1</v>
      </c>
      <c r="E74" s="18">
        <v>1</v>
      </c>
      <c r="F74" s="18">
        <v>1</v>
      </c>
      <c r="G74" s="18">
        <v>1</v>
      </c>
      <c r="H74" s="18"/>
      <c r="J74" s="38" t="str">
        <f t="shared" si="1"/>
        <v>gggggggg</v>
      </c>
    </row>
    <row r="75" spans="1:10" ht="15.75" customHeight="1">
      <c r="A75" s="6" t="s">
        <v>75</v>
      </c>
      <c r="B75" s="7">
        <v>43937</v>
      </c>
      <c r="C75" s="7"/>
      <c r="D75" s="18">
        <v>1</v>
      </c>
      <c r="E75" s="18"/>
      <c r="F75" s="18"/>
      <c r="G75" s="18"/>
      <c r="H75" s="26">
        <v>2</v>
      </c>
      <c r="J75" s="38" t="str">
        <f t="shared" ref="J75:J91" si="2">IF(SUM(D75:H75) &gt; 5, REPT("g", 10), (REPT("g", SUM(D75:H75) * 2)))</f>
        <v>gggggg</v>
      </c>
    </row>
    <row r="76" spans="1:10" ht="15.75" customHeight="1">
      <c r="A76" s="6" t="s">
        <v>58</v>
      </c>
      <c r="B76" s="7">
        <v>43936</v>
      </c>
      <c r="C76" s="7"/>
      <c r="D76" s="18">
        <v>1</v>
      </c>
      <c r="E76" s="18">
        <v>1</v>
      </c>
      <c r="F76" s="18">
        <v>1</v>
      </c>
      <c r="G76" s="18">
        <v>1</v>
      </c>
      <c r="H76" s="18"/>
      <c r="J76" s="38" t="str">
        <f t="shared" si="2"/>
        <v>gggggggg</v>
      </c>
    </row>
    <row r="77" spans="1:10" ht="15.75" customHeight="1">
      <c r="A77" s="6" t="s">
        <v>76</v>
      </c>
      <c r="B77" s="7">
        <v>43935</v>
      </c>
      <c r="C77" s="7"/>
      <c r="D77" s="18">
        <v>1</v>
      </c>
      <c r="E77" s="18">
        <v>1</v>
      </c>
      <c r="F77" s="18">
        <v>1</v>
      </c>
      <c r="G77" s="18">
        <v>1</v>
      </c>
      <c r="H77" s="18"/>
      <c r="J77" s="38" t="str">
        <f t="shared" si="2"/>
        <v>gggggggg</v>
      </c>
    </row>
    <row r="78" spans="1:10" ht="15.75" customHeight="1">
      <c r="A78" s="6" t="s">
        <v>77</v>
      </c>
      <c r="B78" s="7">
        <v>43930</v>
      </c>
      <c r="C78" s="7"/>
      <c r="D78" s="18">
        <v>1</v>
      </c>
      <c r="E78" s="18">
        <v>1</v>
      </c>
      <c r="F78" s="18">
        <v>1</v>
      </c>
      <c r="G78" s="18">
        <v>1</v>
      </c>
      <c r="H78" s="18">
        <v>1</v>
      </c>
      <c r="J78" s="38" t="str">
        <f t="shared" si="2"/>
        <v>gggggggggg</v>
      </c>
    </row>
    <row r="79" spans="1:10" ht="15.75" customHeight="1">
      <c r="A79" s="6" t="s">
        <v>38</v>
      </c>
      <c r="B79" s="7">
        <v>43929</v>
      </c>
      <c r="C79" s="7"/>
      <c r="D79" s="18">
        <v>1</v>
      </c>
      <c r="E79" s="18">
        <v>1</v>
      </c>
      <c r="F79" s="18">
        <v>1</v>
      </c>
      <c r="G79" s="18">
        <v>1</v>
      </c>
      <c r="H79" s="18"/>
      <c r="J79" s="38" t="str">
        <f t="shared" si="2"/>
        <v>gggggggg</v>
      </c>
    </row>
    <row r="80" spans="1:10" ht="15.75" customHeight="1">
      <c r="A80" s="6" t="s">
        <v>78</v>
      </c>
      <c r="B80" s="7">
        <v>43928</v>
      </c>
      <c r="C80" s="7"/>
      <c r="D80" s="18">
        <v>1</v>
      </c>
      <c r="E80" s="18">
        <v>1</v>
      </c>
      <c r="F80" s="18">
        <v>1</v>
      </c>
      <c r="G80" s="18">
        <v>1</v>
      </c>
      <c r="H80" s="18"/>
      <c r="J80" s="38" t="str">
        <f t="shared" si="2"/>
        <v>gggggggg</v>
      </c>
    </row>
    <row r="81" spans="1:10" ht="15.75" customHeight="1">
      <c r="A81" s="6" t="s">
        <v>53</v>
      </c>
      <c r="B81" s="7">
        <v>43927</v>
      </c>
      <c r="C81" s="7"/>
      <c r="D81" s="18">
        <v>1</v>
      </c>
      <c r="E81" s="18">
        <v>1</v>
      </c>
      <c r="F81" s="18">
        <v>1</v>
      </c>
      <c r="G81" s="18">
        <v>1</v>
      </c>
      <c r="H81" s="18"/>
      <c r="J81" s="38" t="str">
        <f t="shared" si="2"/>
        <v>gggggggg</v>
      </c>
    </row>
    <row r="82" spans="1:10" ht="15.75" customHeight="1">
      <c r="A82" s="6" t="s">
        <v>79</v>
      </c>
      <c r="B82" s="7">
        <v>43923</v>
      </c>
      <c r="C82" s="7"/>
      <c r="D82" s="18">
        <v>1</v>
      </c>
      <c r="E82" s="18">
        <v>1</v>
      </c>
      <c r="F82" s="18">
        <v>1</v>
      </c>
      <c r="G82" s="18">
        <v>1</v>
      </c>
      <c r="H82" s="26">
        <v>2</v>
      </c>
      <c r="J82" s="38" t="str">
        <f t="shared" si="2"/>
        <v>gggggggggg</v>
      </c>
    </row>
    <row r="83" spans="1:10" ht="15.75" customHeight="1">
      <c r="A83" s="6" t="s">
        <v>80</v>
      </c>
      <c r="B83" s="7">
        <v>43921</v>
      </c>
      <c r="C83" s="7"/>
      <c r="D83" s="18">
        <v>1</v>
      </c>
      <c r="E83" s="18">
        <v>1</v>
      </c>
      <c r="F83" s="18">
        <v>1</v>
      </c>
      <c r="G83" s="18">
        <v>1</v>
      </c>
      <c r="H83" s="18">
        <v>1</v>
      </c>
      <c r="J83" s="38" t="str">
        <f t="shared" si="2"/>
        <v>gggggggggg</v>
      </c>
    </row>
    <row r="84" spans="1:10" ht="15.75" customHeight="1">
      <c r="A84" s="6" t="s">
        <v>58</v>
      </c>
      <c r="B84" s="7">
        <v>43921</v>
      </c>
      <c r="C84" s="7"/>
      <c r="D84" s="18">
        <v>1</v>
      </c>
      <c r="E84" s="18">
        <v>1</v>
      </c>
      <c r="F84" s="18">
        <v>1</v>
      </c>
      <c r="G84" s="18">
        <v>1</v>
      </c>
      <c r="H84" s="18"/>
      <c r="J84" s="38" t="str">
        <f t="shared" si="2"/>
        <v>gggggggg</v>
      </c>
    </row>
    <row r="85" spans="1:10" ht="15.75" customHeight="1">
      <c r="A85" s="6" t="s">
        <v>53</v>
      </c>
      <c r="B85" s="7">
        <v>43920</v>
      </c>
      <c r="C85" s="7"/>
      <c r="D85" s="18">
        <v>1</v>
      </c>
      <c r="E85" s="18">
        <v>1</v>
      </c>
      <c r="F85" s="18">
        <v>1</v>
      </c>
      <c r="G85" s="18">
        <v>1</v>
      </c>
      <c r="H85" s="18"/>
      <c r="J85" s="38" t="str">
        <f t="shared" si="2"/>
        <v>gggggggg</v>
      </c>
    </row>
    <row r="86" spans="1:10" ht="15.75" customHeight="1">
      <c r="A86" s="6" t="s">
        <v>81</v>
      </c>
      <c r="B86" s="7">
        <v>43917</v>
      </c>
      <c r="C86" s="7"/>
      <c r="D86" s="18">
        <v>1</v>
      </c>
      <c r="E86" s="18">
        <v>1</v>
      </c>
      <c r="F86" s="18">
        <v>1</v>
      </c>
      <c r="G86" s="18">
        <v>1</v>
      </c>
      <c r="H86" s="26">
        <v>2</v>
      </c>
      <c r="I86" t="s">
        <v>65</v>
      </c>
      <c r="J86" s="38" t="str">
        <f t="shared" si="2"/>
        <v>gggggggggg</v>
      </c>
    </row>
    <row r="87" spans="1:10" ht="15.75" customHeight="1">
      <c r="A87" s="6" t="s">
        <v>82</v>
      </c>
      <c r="B87" s="7">
        <v>43916</v>
      </c>
      <c r="C87" s="7"/>
      <c r="D87" s="18">
        <v>1</v>
      </c>
      <c r="E87" s="18">
        <v>1</v>
      </c>
      <c r="F87" s="18">
        <v>1</v>
      </c>
      <c r="G87" s="18">
        <v>1</v>
      </c>
      <c r="H87" s="26">
        <v>2</v>
      </c>
      <c r="I87" t="s">
        <v>65</v>
      </c>
      <c r="J87" s="38" t="str">
        <f t="shared" si="2"/>
        <v>gggggggggg</v>
      </c>
    </row>
    <row r="88" spans="1:10" ht="15.75" customHeight="1">
      <c r="A88" s="6" t="s">
        <v>43</v>
      </c>
      <c r="B88" s="7">
        <v>43915</v>
      </c>
      <c r="C88" s="7"/>
      <c r="D88" s="18">
        <v>1</v>
      </c>
      <c r="E88" s="18">
        <v>1</v>
      </c>
      <c r="F88" s="18">
        <v>1</v>
      </c>
      <c r="G88" s="18">
        <v>1</v>
      </c>
      <c r="H88" s="18">
        <v>1</v>
      </c>
      <c r="J88" s="38" t="str">
        <f t="shared" si="2"/>
        <v>gggggggggg</v>
      </c>
    </row>
    <row r="89" spans="1:10" ht="15.75" customHeight="1">
      <c r="A89" t="s">
        <v>83</v>
      </c>
      <c r="B89" s="7">
        <v>43914</v>
      </c>
      <c r="C89" s="7"/>
      <c r="D89" s="18">
        <v>1</v>
      </c>
      <c r="E89" s="18">
        <v>1</v>
      </c>
      <c r="F89" s="18">
        <v>1</v>
      </c>
      <c r="G89" s="18">
        <v>1</v>
      </c>
      <c r="H89" s="18">
        <v>1</v>
      </c>
      <c r="J89" s="38" t="str">
        <f t="shared" si="2"/>
        <v>gggggggggg</v>
      </c>
    </row>
    <row r="90" spans="1:10" ht="15.75" customHeight="1">
      <c r="A90" t="s">
        <v>58</v>
      </c>
      <c r="B90" s="7">
        <v>43914</v>
      </c>
      <c r="C90" s="7"/>
      <c r="D90" s="18">
        <v>1</v>
      </c>
      <c r="E90" s="18">
        <v>1</v>
      </c>
      <c r="F90" s="18">
        <v>1</v>
      </c>
      <c r="G90" s="18">
        <v>1</v>
      </c>
      <c r="H90" s="18"/>
      <c r="J90" s="38" t="str">
        <f t="shared" si="2"/>
        <v>gggggggg</v>
      </c>
    </row>
    <row r="91" spans="1:10" ht="15.75" customHeight="1">
      <c r="A91" t="s">
        <v>53</v>
      </c>
      <c r="B91" s="7">
        <v>43913</v>
      </c>
      <c r="C91" s="7"/>
      <c r="D91" s="18">
        <v>1</v>
      </c>
      <c r="E91" s="18">
        <v>1</v>
      </c>
      <c r="F91" s="18">
        <v>1</v>
      </c>
      <c r="G91" s="18">
        <v>1</v>
      </c>
      <c r="H91" s="18"/>
      <c r="J91" s="38" t="str">
        <f t="shared" si="2"/>
        <v>gggggggg</v>
      </c>
    </row>
    <row r="92" spans="1:10" ht="15.75">
      <c r="A92" t="s">
        <v>84</v>
      </c>
      <c r="B92" s="7">
        <v>43909</v>
      </c>
      <c r="C92" s="7"/>
      <c r="D92" s="18">
        <v>1</v>
      </c>
      <c r="E92" s="18">
        <v>1</v>
      </c>
      <c r="F92" s="18">
        <v>1</v>
      </c>
      <c r="G92" s="18">
        <v>1</v>
      </c>
      <c r="H92" s="18"/>
      <c r="I92" t="s">
        <v>85</v>
      </c>
      <c r="J92" s="33" t="str">
        <f>IF(SUM(D90:H90)&gt;5,REPT("g",10),(REPT("g",SUM(D90:H90)*2)))</f>
        <v>gggggggg</v>
      </c>
    </row>
    <row r="93" spans="1:10">
      <c r="D93" s="3"/>
      <c r="E93" s="3"/>
      <c r="F93" s="3"/>
      <c r="G93" s="3"/>
      <c r="H93" s="3"/>
    </row>
    <row r="94" spans="1:10">
      <c r="D94" s="3"/>
      <c r="E94" s="3"/>
      <c r="F94" s="3"/>
      <c r="G94" s="3"/>
      <c r="H94" s="3"/>
    </row>
    <row r="95" spans="1:10">
      <c r="D95" s="3"/>
      <c r="E95" s="3"/>
      <c r="F95" s="3"/>
      <c r="G95" s="3"/>
      <c r="H95" s="3"/>
    </row>
    <row r="96" spans="1:10">
      <c r="D96" s="3"/>
      <c r="E96" s="3"/>
      <c r="F96" s="3"/>
      <c r="G96" s="3"/>
      <c r="H96" s="3"/>
    </row>
    <row r="97" spans="4:8">
      <c r="D97" s="3"/>
      <c r="E97" s="3"/>
      <c r="F97" s="3"/>
      <c r="G97" s="3"/>
      <c r="H97" s="3"/>
    </row>
    <row r="98" spans="4:8">
      <c r="D98" s="3"/>
      <c r="E98" s="3"/>
      <c r="F98" s="3"/>
      <c r="G98" s="3"/>
      <c r="H98" s="3"/>
    </row>
    <row r="99" spans="4:8">
      <c r="D99" s="3"/>
      <c r="E99" s="3"/>
      <c r="F99" s="3"/>
      <c r="G99" s="3"/>
      <c r="H99" s="3"/>
    </row>
    <row r="100" spans="4:8">
      <c r="D100" s="3"/>
      <c r="E100" s="3"/>
      <c r="F100" s="3"/>
      <c r="G100" s="3"/>
      <c r="H100" s="3"/>
    </row>
    <row r="101" spans="4:8">
      <c r="D101" s="3"/>
      <c r="E101" s="3"/>
      <c r="F101" s="3"/>
      <c r="G101" s="3"/>
      <c r="H101" s="3"/>
    </row>
    <row r="102" spans="4:8">
      <c r="D102" s="3"/>
      <c r="E102" s="3"/>
      <c r="F102" s="3"/>
      <c r="G102" s="3"/>
      <c r="H102" s="3"/>
    </row>
    <row r="103" spans="4:8">
      <c r="D103" s="3"/>
      <c r="E103" s="3"/>
      <c r="F103" s="3"/>
      <c r="G103" s="3"/>
      <c r="H103" s="3"/>
    </row>
    <row r="104" spans="4:8">
      <c r="D104" s="3"/>
      <c r="E104" s="3"/>
      <c r="F104" s="3"/>
      <c r="G104" s="3"/>
      <c r="H104" s="3"/>
    </row>
    <row r="105" spans="4:8">
      <c r="D105" s="3"/>
      <c r="E105" s="3"/>
      <c r="F105" s="3"/>
      <c r="G105" s="3"/>
      <c r="H105" s="3"/>
    </row>
    <row r="106" spans="4:8">
      <c r="D106" s="2" t="b">
        <v>0</v>
      </c>
      <c r="E106" s="2" t="b">
        <v>0</v>
      </c>
      <c r="F106" s="2" t="b">
        <v>0</v>
      </c>
      <c r="G106" s="2" t="b">
        <v>0</v>
      </c>
      <c r="H106" s="2" t="b">
        <v>1</v>
      </c>
    </row>
    <row r="107" spans="4:8">
      <c r="D107" s="2" t="b">
        <v>1</v>
      </c>
      <c r="E107" s="2" t="b">
        <v>1</v>
      </c>
      <c r="F107" s="2" t="b">
        <v>0</v>
      </c>
      <c r="G107" s="2" t="b">
        <v>0</v>
      </c>
      <c r="H107" s="2" t="b">
        <v>1</v>
      </c>
    </row>
  </sheetData>
  <mergeCells count="3">
    <mergeCell ref="B5:F5"/>
    <mergeCell ref="B6:F6"/>
    <mergeCell ref="A1:J1"/>
  </mergeCells>
  <conditionalFormatting sqref="D85:D86 D88:D100">
    <cfRule type="colorScale" priority="530">
      <colorScale>
        <cfvo type="num" val="0"/>
        <cfvo type="num" val="1"/>
        <color theme="0"/>
        <color theme="9"/>
      </colorScale>
    </cfRule>
  </conditionalFormatting>
  <conditionalFormatting sqref="D84">
    <cfRule type="colorScale" priority="422">
      <colorScale>
        <cfvo type="num" val="0"/>
        <cfvo type="num" val="1"/>
        <color theme="0"/>
        <color theme="9"/>
      </colorScale>
    </cfRule>
  </conditionalFormatting>
  <conditionalFormatting sqref="E84">
    <cfRule type="colorScale" priority="421">
      <colorScale>
        <cfvo type="num" val="0"/>
        <cfvo type="num" val="1"/>
        <color theme="0"/>
        <color theme="9"/>
      </colorScale>
    </cfRule>
  </conditionalFormatting>
  <conditionalFormatting sqref="D83">
    <cfRule type="colorScale" priority="414">
      <colorScale>
        <cfvo type="num" val="0"/>
        <cfvo type="num" val="1"/>
        <color theme="0"/>
        <color theme="9"/>
      </colorScale>
    </cfRule>
  </conditionalFormatting>
  <conditionalFormatting sqref="E83">
    <cfRule type="colorScale" priority="413">
      <colorScale>
        <cfvo type="num" val="0"/>
        <cfvo type="num" val="1"/>
        <color theme="0"/>
        <color theme="9"/>
      </colorScale>
    </cfRule>
  </conditionalFormatting>
  <conditionalFormatting sqref="D87">
    <cfRule type="colorScale" priority="401">
      <colorScale>
        <cfvo type="num" val="0"/>
        <cfvo type="num" val="1"/>
        <color theme="0"/>
        <color theme="9"/>
      </colorScale>
    </cfRule>
  </conditionalFormatting>
  <conditionalFormatting sqref="D82">
    <cfRule type="colorScale" priority="399">
      <colorScale>
        <cfvo type="num" val="0"/>
        <cfvo type="num" val="1"/>
        <color theme="0"/>
        <color theme="9"/>
      </colorScale>
    </cfRule>
  </conditionalFormatting>
  <conditionalFormatting sqref="E82">
    <cfRule type="colorScale" priority="398">
      <colorScale>
        <cfvo type="num" val="0"/>
        <cfvo type="num" val="1"/>
        <color theme="0"/>
        <color theme="9"/>
      </colorScale>
    </cfRule>
  </conditionalFormatting>
  <conditionalFormatting sqref="D81">
    <cfRule type="colorScale" priority="395">
      <colorScale>
        <cfvo type="num" val="0"/>
        <cfvo type="num" val="1"/>
        <color theme="0"/>
        <color theme="9"/>
      </colorScale>
    </cfRule>
  </conditionalFormatting>
  <conditionalFormatting sqref="E81">
    <cfRule type="colorScale" priority="394">
      <colorScale>
        <cfvo type="num" val="0"/>
        <cfvo type="num" val="1"/>
        <color theme="0"/>
        <color theme="9"/>
      </colorScale>
    </cfRule>
  </conditionalFormatting>
  <conditionalFormatting sqref="D80">
    <cfRule type="colorScale" priority="391">
      <colorScale>
        <cfvo type="num" val="0"/>
        <cfvo type="num" val="1"/>
        <color theme="0"/>
        <color theme="9"/>
      </colorScale>
    </cfRule>
  </conditionalFormatting>
  <conditionalFormatting sqref="E80">
    <cfRule type="colorScale" priority="390">
      <colorScale>
        <cfvo type="num" val="0"/>
        <cfvo type="num" val="1"/>
        <color theme="0"/>
        <color theme="9"/>
      </colorScale>
    </cfRule>
  </conditionalFormatting>
  <conditionalFormatting sqref="D79">
    <cfRule type="colorScale" priority="387">
      <colorScale>
        <cfvo type="num" val="0"/>
        <cfvo type="num" val="1"/>
        <color theme="0"/>
        <color theme="9"/>
      </colorScale>
    </cfRule>
  </conditionalFormatting>
  <conditionalFormatting sqref="E79">
    <cfRule type="colorScale" priority="386">
      <colorScale>
        <cfvo type="num" val="0"/>
        <cfvo type="num" val="1"/>
        <color theme="0"/>
        <color theme="9"/>
      </colorScale>
    </cfRule>
  </conditionalFormatting>
  <conditionalFormatting sqref="D78">
    <cfRule type="colorScale" priority="383">
      <colorScale>
        <cfvo type="num" val="0"/>
        <cfvo type="num" val="1"/>
        <color theme="0"/>
        <color theme="9"/>
      </colorScale>
    </cfRule>
  </conditionalFormatting>
  <conditionalFormatting sqref="E78">
    <cfRule type="colorScale" priority="382">
      <colorScale>
        <cfvo type="num" val="0"/>
        <cfvo type="num" val="1"/>
        <color theme="0"/>
        <color theme="9"/>
      </colorScale>
    </cfRule>
  </conditionalFormatting>
  <conditionalFormatting sqref="D77">
    <cfRule type="colorScale" priority="379">
      <colorScale>
        <cfvo type="num" val="0"/>
        <cfvo type="num" val="1"/>
        <color theme="0"/>
        <color theme="9"/>
      </colorScale>
    </cfRule>
  </conditionalFormatting>
  <conditionalFormatting sqref="E77">
    <cfRule type="colorScale" priority="378">
      <colorScale>
        <cfvo type="num" val="0"/>
        <cfvo type="num" val="1"/>
        <color theme="0"/>
        <color theme="9"/>
      </colorScale>
    </cfRule>
  </conditionalFormatting>
  <conditionalFormatting sqref="D76">
    <cfRule type="colorScale" priority="363">
      <colorScale>
        <cfvo type="num" val="0"/>
        <cfvo type="num" val="1"/>
        <color theme="0"/>
        <color theme="9"/>
      </colorScale>
    </cfRule>
  </conditionalFormatting>
  <conditionalFormatting sqref="E76">
    <cfRule type="colorScale" priority="362">
      <colorScale>
        <cfvo type="num" val="0"/>
        <cfvo type="num" val="1"/>
        <color theme="0"/>
        <color theme="9"/>
      </colorScale>
    </cfRule>
  </conditionalFormatting>
  <conditionalFormatting sqref="D75">
    <cfRule type="colorScale" priority="359">
      <colorScale>
        <cfvo type="num" val="0"/>
        <cfvo type="num" val="1"/>
        <color theme="0"/>
        <color theme="9"/>
      </colorScale>
    </cfRule>
  </conditionalFormatting>
  <conditionalFormatting sqref="E75">
    <cfRule type="colorScale" priority="358">
      <colorScale>
        <cfvo type="num" val="0"/>
        <cfvo type="num" val="1"/>
        <color theme="0"/>
        <color theme="9"/>
      </colorScale>
    </cfRule>
  </conditionalFormatting>
  <conditionalFormatting sqref="D74">
    <cfRule type="colorScale" priority="351">
      <colorScale>
        <cfvo type="num" val="0"/>
        <cfvo type="num" val="1"/>
        <color theme="0"/>
        <color theme="9"/>
      </colorScale>
    </cfRule>
  </conditionalFormatting>
  <conditionalFormatting sqref="E74">
    <cfRule type="colorScale" priority="350">
      <colorScale>
        <cfvo type="num" val="0"/>
        <cfvo type="num" val="1"/>
        <color theme="0"/>
        <color theme="9"/>
      </colorScale>
    </cfRule>
  </conditionalFormatting>
  <conditionalFormatting sqref="D73">
    <cfRule type="colorScale" priority="347">
      <colorScale>
        <cfvo type="num" val="0"/>
        <cfvo type="num" val="1"/>
        <color theme="0"/>
        <color theme="9"/>
      </colorScale>
    </cfRule>
  </conditionalFormatting>
  <conditionalFormatting sqref="E73">
    <cfRule type="colorScale" priority="346">
      <colorScale>
        <cfvo type="num" val="0"/>
        <cfvo type="num" val="1"/>
        <color theme="0"/>
        <color theme="9"/>
      </colorScale>
    </cfRule>
  </conditionalFormatting>
  <conditionalFormatting sqref="D72">
    <cfRule type="colorScale" priority="343">
      <colorScale>
        <cfvo type="num" val="0"/>
        <cfvo type="num" val="1"/>
        <color theme="0"/>
        <color theme="9"/>
      </colorScale>
    </cfRule>
  </conditionalFormatting>
  <conditionalFormatting sqref="E72">
    <cfRule type="colorScale" priority="342">
      <colorScale>
        <cfvo type="num" val="0"/>
        <cfvo type="num" val="1"/>
        <color theme="0"/>
        <color theme="9"/>
      </colorScale>
    </cfRule>
  </conditionalFormatting>
  <conditionalFormatting sqref="D71">
    <cfRule type="colorScale" priority="339">
      <colorScale>
        <cfvo type="num" val="0"/>
        <cfvo type="num" val="1"/>
        <color theme="0"/>
        <color theme="9"/>
      </colorScale>
    </cfRule>
  </conditionalFormatting>
  <conditionalFormatting sqref="E71">
    <cfRule type="colorScale" priority="338">
      <colorScale>
        <cfvo type="num" val="0"/>
        <cfvo type="num" val="1"/>
        <color theme="0"/>
        <color theme="9"/>
      </colorScale>
    </cfRule>
  </conditionalFormatting>
  <conditionalFormatting sqref="D70">
    <cfRule type="colorScale" priority="331">
      <colorScale>
        <cfvo type="num" val="0"/>
        <cfvo type="num" val="1"/>
        <color theme="0"/>
        <color theme="9"/>
      </colorScale>
    </cfRule>
  </conditionalFormatting>
  <conditionalFormatting sqref="E70">
    <cfRule type="colorScale" priority="330">
      <colorScale>
        <cfvo type="num" val="0"/>
        <cfvo type="num" val="1"/>
        <color theme="0"/>
        <color theme="9"/>
      </colorScale>
    </cfRule>
  </conditionalFormatting>
  <conditionalFormatting sqref="D69">
    <cfRule type="colorScale" priority="323">
      <colorScale>
        <cfvo type="num" val="0"/>
        <cfvo type="num" val="1"/>
        <color theme="0"/>
        <color theme="9"/>
      </colorScale>
    </cfRule>
  </conditionalFormatting>
  <conditionalFormatting sqref="E69">
    <cfRule type="colorScale" priority="322">
      <colorScale>
        <cfvo type="num" val="0"/>
        <cfvo type="num" val="1"/>
        <color theme="0"/>
        <color theme="9"/>
      </colorScale>
    </cfRule>
  </conditionalFormatting>
  <conditionalFormatting sqref="D68">
    <cfRule type="colorScale" priority="319">
      <colorScale>
        <cfvo type="num" val="0"/>
        <cfvo type="num" val="1"/>
        <color theme="0"/>
        <color theme="9"/>
      </colorScale>
    </cfRule>
  </conditionalFormatting>
  <conditionalFormatting sqref="E68">
    <cfRule type="colorScale" priority="318">
      <colorScale>
        <cfvo type="num" val="0"/>
        <cfvo type="num" val="1"/>
        <color theme="0"/>
        <color theme="9"/>
      </colorScale>
    </cfRule>
  </conditionalFormatting>
  <conditionalFormatting sqref="D67">
    <cfRule type="colorScale" priority="315">
      <colorScale>
        <cfvo type="num" val="0"/>
        <cfvo type="num" val="1"/>
        <color theme="0"/>
        <color theme="9"/>
      </colorScale>
    </cfRule>
  </conditionalFormatting>
  <conditionalFormatting sqref="E67">
    <cfRule type="colorScale" priority="314">
      <colorScale>
        <cfvo type="num" val="0"/>
        <cfvo type="num" val="1"/>
        <color theme="0"/>
        <color theme="9"/>
      </colorScale>
    </cfRule>
  </conditionalFormatting>
  <conditionalFormatting sqref="D66">
    <cfRule type="colorScale" priority="311">
      <colorScale>
        <cfvo type="num" val="0"/>
        <cfvo type="num" val="1"/>
        <color theme="0"/>
        <color theme="9"/>
      </colorScale>
    </cfRule>
  </conditionalFormatting>
  <conditionalFormatting sqref="E66">
    <cfRule type="colorScale" priority="310">
      <colorScale>
        <cfvo type="num" val="0"/>
        <cfvo type="num" val="1"/>
        <color theme="0"/>
        <color theme="9"/>
      </colorScale>
    </cfRule>
  </conditionalFormatting>
  <conditionalFormatting sqref="D65">
    <cfRule type="colorScale" priority="307">
      <colorScale>
        <cfvo type="num" val="0"/>
        <cfvo type="num" val="1"/>
        <color theme="0"/>
        <color theme="9"/>
      </colorScale>
    </cfRule>
  </conditionalFormatting>
  <conditionalFormatting sqref="E65">
    <cfRule type="colorScale" priority="306">
      <colorScale>
        <cfvo type="num" val="0"/>
        <cfvo type="num" val="1"/>
        <color theme="0"/>
        <color theme="9"/>
      </colorScale>
    </cfRule>
  </conditionalFormatting>
  <conditionalFormatting sqref="D64">
    <cfRule type="colorScale" priority="303">
      <colorScale>
        <cfvo type="num" val="0"/>
        <cfvo type="num" val="1"/>
        <color theme="0"/>
        <color theme="9"/>
      </colorScale>
    </cfRule>
  </conditionalFormatting>
  <conditionalFormatting sqref="E64">
    <cfRule type="colorScale" priority="302">
      <colorScale>
        <cfvo type="num" val="0"/>
        <cfvo type="num" val="1"/>
        <color theme="0"/>
        <color theme="9"/>
      </colorScale>
    </cfRule>
  </conditionalFormatting>
  <conditionalFormatting sqref="D63">
    <cfRule type="colorScale" priority="299">
      <colorScale>
        <cfvo type="num" val="0"/>
        <cfvo type="num" val="1"/>
        <color theme="0"/>
        <color theme="9"/>
      </colorScale>
    </cfRule>
  </conditionalFormatting>
  <conditionalFormatting sqref="E63">
    <cfRule type="colorScale" priority="298">
      <colorScale>
        <cfvo type="num" val="0"/>
        <cfvo type="num" val="1"/>
        <color theme="0"/>
        <color theme="9"/>
      </colorScale>
    </cfRule>
  </conditionalFormatting>
  <conditionalFormatting sqref="D62">
    <cfRule type="colorScale" priority="295">
      <colorScale>
        <cfvo type="num" val="0"/>
        <cfvo type="num" val="1"/>
        <color theme="0"/>
        <color theme="9"/>
      </colorScale>
    </cfRule>
  </conditionalFormatting>
  <conditionalFormatting sqref="E62">
    <cfRule type="colorScale" priority="294">
      <colorScale>
        <cfvo type="num" val="0"/>
        <cfvo type="num" val="1"/>
        <color theme="0"/>
        <color theme="9"/>
      </colorScale>
    </cfRule>
  </conditionalFormatting>
  <conditionalFormatting sqref="D61">
    <cfRule type="colorScale" priority="291">
      <colorScale>
        <cfvo type="num" val="0"/>
        <cfvo type="num" val="1"/>
        <color theme="0"/>
        <color theme="9"/>
      </colorScale>
    </cfRule>
  </conditionalFormatting>
  <conditionalFormatting sqref="E61">
    <cfRule type="colorScale" priority="290">
      <colorScale>
        <cfvo type="num" val="0"/>
        <cfvo type="num" val="1"/>
        <color theme="0"/>
        <color theme="9"/>
      </colorScale>
    </cfRule>
  </conditionalFormatting>
  <conditionalFormatting sqref="D60">
    <cfRule type="colorScale" priority="287">
      <colorScale>
        <cfvo type="num" val="0"/>
        <cfvo type="num" val="1"/>
        <color theme="0"/>
        <color theme="9"/>
      </colorScale>
    </cfRule>
  </conditionalFormatting>
  <conditionalFormatting sqref="E60">
    <cfRule type="colorScale" priority="286">
      <colorScale>
        <cfvo type="num" val="0"/>
        <cfvo type="num" val="1"/>
        <color theme="0"/>
        <color theme="9"/>
      </colorScale>
    </cfRule>
  </conditionalFormatting>
  <conditionalFormatting sqref="D59">
    <cfRule type="colorScale" priority="283">
      <colorScale>
        <cfvo type="num" val="0"/>
        <cfvo type="num" val="1"/>
        <color theme="0"/>
        <color theme="9"/>
      </colorScale>
    </cfRule>
  </conditionalFormatting>
  <conditionalFormatting sqref="E59">
    <cfRule type="colorScale" priority="282">
      <colorScale>
        <cfvo type="num" val="0"/>
        <cfvo type="num" val="1"/>
        <color theme="0"/>
        <color theme="9"/>
      </colorScale>
    </cfRule>
  </conditionalFormatting>
  <conditionalFormatting sqref="D58">
    <cfRule type="colorScale" priority="279">
      <colorScale>
        <cfvo type="num" val="0"/>
        <cfvo type="num" val="1"/>
        <color theme="0"/>
        <color theme="9"/>
      </colorScale>
    </cfRule>
  </conditionalFormatting>
  <conditionalFormatting sqref="E58">
    <cfRule type="colorScale" priority="278">
      <colorScale>
        <cfvo type="num" val="0"/>
        <cfvo type="num" val="1"/>
        <color theme="0"/>
        <color theme="9"/>
      </colorScale>
    </cfRule>
  </conditionalFormatting>
  <conditionalFormatting sqref="D57">
    <cfRule type="colorScale" priority="275">
      <colorScale>
        <cfvo type="num" val="0"/>
        <cfvo type="num" val="1"/>
        <color theme="0"/>
        <color theme="9"/>
      </colorScale>
    </cfRule>
  </conditionalFormatting>
  <conditionalFormatting sqref="E57">
    <cfRule type="colorScale" priority="274">
      <colorScale>
        <cfvo type="num" val="0"/>
        <cfvo type="num" val="1"/>
        <color theme="0"/>
        <color theme="9"/>
      </colorScale>
    </cfRule>
  </conditionalFormatting>
  <conditionalFormatting sqref="D56">
    <cfRule type="colorScale" priority="271">
      <colorScale>
        <cfvo type="num" val="0"/>
        <cfvo type="num" val="1"/>
        <color theme="0"/>
        <color theme="9"/>
      </colorScale>
    </cfRule>
  </conditionalFormatting>
  <conditionalFormatting sqref="E56">
    <cfRule type="colorScale" priority="270">
      <colorScale>
        <cfvo type="num" val="0"/>
        <cfvo type="num" val="1"/>
        <color theme="0"/>
        <color theme="9"/>
      </colorScale>
    </cfRule>
  </conditionalFormatting>
  <conditionalFormatting sqref="D55">
    <cfRule type="colorScale" priority="267">
      <colorScale>
        <cfvo type="num" val="0"/>
        <cfvo type="num" val="1"/>
        <color theme="0"/>
        <color theme="9"/>
      </colorScale>
    </cfRule>
  </conditionalFormatting>
  <conditionalFormatting sqref="E55">
    <cfRule type="colorScale" priority="266">
      <colorScale>
        <cfvo type="num" val="0"/>
        <cfvo type="num" val="1"/>
        <color theme="0"/>
        <color theme="9"/>
      </colorScale>
    </cfRule>
  </conditionalFormatting>
  <conditionalFormatting sqref="D54">
    <cfRule type="colorScale" priority="263">
      <colorScale>
        <cfvo type="num" val="0"/>
        <cfvo type="num" val="1"/>
        <color theme="0"/>
        <color theme="9"/>
      </colorScale>
    </cfRule>
  </conditionalFormatting>
  <conditionalFormatting sqref="E54">
    <cfRule type="colorScale" priority="262">
      <colorScale>
        <cfvo type="num" val="0"/>
        <cfvo type="num" val="1"/>
        <color theme="0"/>
        <color theme="9"/>
      </colorScale>
    </cfRule>
  </conditionalFormatting>
  <conditionalFormatting sqref="D53">
    <cfRule type="colorScale" priority="259">
      <colorScale>
        <cfvo type="num" val="0"/>
        <cfvo type="num" val="1"/>
        <color theme="0"/>
        <color theme="9"/>
      </colorScale>
    </cfRule>
  </conditionalFormatting>
  <conditionalFormatting sqref="E53">
    <cfRule type="colorScale" priority="258">
      <colorScale>
        <cfvo type="num" val="0"/>
        <cfvo type="num" val="1"/>
        <color theme="0"/>
        <color theme="9"/>
      </colorScale>
    </cfRule>
  </conditionalFormatting>
  <conditionalFormatting sqref="D52">
    <cfRule type="colorScale" priority="255">
      <colorScale>
        <cfvo type="num" val="0"/>
        <cfvo type="num" val="1"/>
        <color theme="0"/>
        <color theme="9"/>
      </colorScale>
    </cfRule>
  </conditionalFormatting>
  <conditionalFormatting sqref="E52">
    <cfRule type="colorScale" priority="254">
      <colorScale>
        <cfvo type="num" val="0"/>
        <cfvo type="num" val="1"/>
        <color theme="0"/>
        <color theme="9"/>
      </colorScale>
    </cfRule>
  </conditionalFormatting>
  <conditionalFormatting sqref="D51">
    <cfRule type="colorScale" priority="251">
      <colorScale>
        <cfvo type="num" val="0"/>
        <cfvo type="num" val="1"/>
        <color theme="0"/>
        <color theme="9"/>
      </colorScale>
    </cfRule>
  </conditionalFormatting>
  <conditionalFormatting sqref="E51">
    <cfRule type="colorScale" priority="250">
      <colorScale>
        <cfvo type="num" val="0"/>
        <cfvo type="num" val="1"/>
        <color theme="0"/>
        <color theme="9"/>
      </colorScale>
    </cfRule>
  </conditionalFormatting>
  <conditionalFormatting sqref="D50">
    <cfRule type="colorScale" priority="247">
      <colorScale>
        <cfvo type="num" val="0"/>
        <cfvo type="num" val="1"/>
        <color theme="0"/>
        <color theme="9"/>
      </colorScale>
    </cfRule>
  </conditionalFormatting>
  <conditionalFormatting sqref="E50">
    <cfRule type="colorScale" priority="246">
      <colorScale>
        <cfvo type="num" val="0"/>
        <cfvo type="num" val="1"/>
        <color theme="0"/>
        <color theme="9"/>
      </colorScale>
    </cfRule>
  </conditionalFormatting>
  <conditionalFormatting sqref="D49">
    <cfRule type="colorScale" priority="243">
      <colorScale>
        <cfvo type="num" val="0"/>
        <cfvo type="num" val="1"/>
        <color theme="0"/>
        <color theme="9"/>
      </colorScale>
    </cfRule>
  </conditionalFormatting>
  <conditionalFormatting sqref="E49">
    <cfRule type="colorScale" priority="242">
      <colorScale>
        <cfvo type="num" val="0"/>
        <cfvo type="num" val="1"/>
        <color theme="0"/>
        <color theme="9"/>
      </colorScale>
    </cfRule>
  </conditionalFormatting>
  <conditionalFormatting sqref="D48">
    <cfRule type="colorScale" priority="239">
      <colorScale>
        <cfvo type="num" val="0"/>
        <cfvo type="num" val="1"/>
        <color theme="0"/>
        <color theme="9"/>
      </colorScale>
    </cfRule>
  </conditionalFormatting>
  <conditionalFormatting sqref="E48">
    <cfRule type="colorScale" priority="238">
      <colorScale>
        <cfvo type="num" val="0"/>
        <cfvo type="num" val="1"/>
        <color theme="0"/>
        <color theme="9"/>
      </colorScale>
    </cfRule>
  </conditionalFormatting>
  <conditionalFormatting sqref="D47">
    <cfRule type="colorScale" priority="235">
      <colorScale>
        <cfvo type="num" val="0"/>
        <cfvo type="num" val="1"/>
        <color theme="0"/>
        <color theme="9"/>
      </colorScale>
    </cfRule>
  </conditionalFormatting>
  <conditionalFormatting sqref="E47">
    <cfRule type="colorScale" priority="234">
      <colorScale>
        <cfvo type="num" val="0"/>
        <cfvo type="num" val="1"/>
        <color theme="0"/>
        <color theme="9"/>
      </colorScale>
    </cfRule>
  </conditionalFormatting>
  <conditionalFormatting sqref="D46">
    <cfRule type="colorScale" priority="231">
      <colorScale>
        <cfvo type="num" val="0"/>
        <cfvo type="num" val="1"/>
        <color theme="0"/>
        <color theme="9"/>
      </colorScale>
    </cfRule>
  </conditionalFormatting>
  <conditionalFormatting sqref="E46">
    <cfRule type="colorScale" priority="230">
      <colorScale>
        <cfvo type="num" val="0"/>
        <cfvo type="num" val="1"/>
        <color theme="0"/>
        <color theme="9"/>
      </colorScale>
    </cfRule>
  </conditionalFormatting>
  <conditionalFormatting sqref="D45">
    <cfRule type="colorScale" priority="227">
      <colorScale>
        <cfvo type="num" val="0"/>
        <cfvo type="num" val="1"/>
        <color theme="0"/>
        <color theme="9"/>
      </colorScale>
    </cfRule>
  </conditionalFormatting>
  <conditionalFormatting sqref="E45">
    <cfRule type="colorScale" priority="226">
      <colorScale>
        <cfvo type="num" val="0"/>
        <cfvo type="num" val="1"/>
        <color theme="0"/>
        <color theme="9"/>
      </colorScale>
    </cfRule>
  </conditionalFormatting>
  <conditionalFormatting sqref="D44">
    <cfRule type="colorScale" priority="223">
      <colorScale>
        <cfvo type="num" val="0"/>
        <cfvo type="num" val="1"/>
        <color theme="0"/>
        <color theme="9"/>
      </colorScale>
    </cfRule>
  </conditionalFormatting>
  <conditionalFormatting sqref="E44">
    <cfRule type="colorScale" priority="222">
      <colorScale>
        <cfvo type="num" val="0"/>
        <cfvo type="num" val="1"/>
        <color theme="0"/>
        <color theme="9"/>
      </colorScale>
    </cfRule>
  </conditionalFormatting>
  <conditionalFormatting sqref="D43">
    <cfRule type="colorScale" priority="219">
      <colorScale>
        <cfvo type="num" val="0"/>
        <cfvo type="num" val="1"/>
        <color theme="0"/>
        <color theme="9"/>
      </colorScale>
    </cfRule>
  </conditionalFormatting>
  <conditionalFormatting sqref="E43">
    <cfRule type="colorScale" priority="218">
      <colorScale>
        <cfvo type="num" val="0"/>
        <cfvo type="num" val="1"/>
        <color theme="0"/>
        <color theme="9"/>
      </colorScale>
    </cfRule>
  </conditionalFormatting>
  <conditionalFormatting sqref="D42">
    <cfRule type="colorScale" priority="215">
      <colorScale>
        <cfvo type="num" val="0"/>
        <cfvo type="num" val="1"/>
        <color theme="0"/>
        <color theme="9"/>
      </colorScale>
    </cfRule>
  </conditionalFormatting>
  <conditionalFormatting sqref="E42">
    <cfRule type="colorScale" priority="214">
      <colorScale>
        <cfvo type="num" val="0"/>
        <cfvo type="num" val="1"/>
        <color theme="0"/>
        <color theme="9"/>
      </colorScale>
    </cfRule>
  </conditionalFormatting>
  <conditionalFormatting sqref="D41">
    <cfRule type="colorScale" priority="211">
      <colorScale>
        <cfvo type="num" val="0"/>
        <cfvo type="num" val="1"/>
        <color theme="0"/>
        <color theme="9"/>
      </colorScale>
    </cfRule>
  </conditionalFormatting>
  <conditionalFormatting sqref="E41">
    <cfRule type="colorScale" priority="210">
      <colorScale>
        <cfvo type="num" val="0"/>
        <cfvo type="num" val="1"/>
        <color theme="0"/>
        <color theme="9"/>
      </colorScale>
    </cfRule>
  </conditionalFormatting>
  <conditionalFormatting sqref="D40">
    <cfRule type="colorScale" priority="183">
      <colorScale>
        <cfvo type="num" val="0"/>
        <cfvo type="num" val="1"/>
        <color theme="0"/>
        <color theme="9"/>
      </colorScale>
    </cfRule>
  </conditionalFormatting>
  <conditionalFormatting sqref="E40">
    <cfRule type="colorScale" priority="182">
      <colorScale>
        <cfvo type="num" val="0"/>
        <cfvo type="num" val="1"/>
        <color theme="0"/>
        <color theme="9"/>
      </colorScale>
    </cfRule>
  </conditionalFormatting>
  <conditionalFormatting sqref="D39">
    <cfRule type="colorScale" priority="180">
      <colorScale>
        <cfvo type="num" val="0"/>
        <cfvo type="num" val="1"/>
        <color theme="0"/>
        <color theme="9"/>
      </colorScale>
    </cfRule>
  </conditionalFormatting>
  <conditionalFormatting sqref="E39">
    <cfRule type="colorScale" priority="179">
      <colorScale>
        <cfvo type="num" val="0"/>
        <cfvo type="num" val="1"/>
        <color theme="0"/>
        <color theme="9"/>
      </colorScale>
    </cfRule>
  </conditionalFormatting>
  <conditionalFormatting sqref="D38">
    <cfRule type="colorScale" priority="177">
      <colorScale>
        <cfvo type="num" val="0"/>
        <cfvo type="num" val="1"/>
        <color theme="0"/>
        <color theme="9"/>
      </colorScale>
    </cfRule>
  </conditionalFormatting>
  <conditionalFormatting sqref="E38">
    <cfRule type="colorScale" priority="176">
      <colorScale>
        <cfvo type="num" val="0"/>
        <cfvo type="num" val="1"/>
        <color theme="0"/>
        <color theme="9"/>
      </colorScale>
    </cfRule>
  </conditionalFormatting>
  <conditionalFormatting sqref="D37">
    <cfRule type="colorScale" priority="174">
      <colorScale>
        <cfvo type="num" val="0"/>
        <cfvo type="num" val="1"/>
        <color theme="0"/>
        <color theme="9"/>
      </colorScale>
    </cfRule>
  </conditionalFormatting>
  <conditionalFormatting sqref="E37">
    <cfRule type="colorScale" priority="173">
      <colorScale>
        <cfvo type="num" val="0"/>
        <cfvo type="num" val="1"/>
        <color theme="0"/>
        <color theme="9"/>
      </colorScale>
    </cfRule>
  </conditionalFormatting>
  <conditionalFormatting sqref="D36">
    <cfRule type="colorScale" priority="167">
      <colorScale>
        <cfvo type="num" val="0"/>
        <cfvo type="num" val="1"/>
        <color theme="0"/>
        <color theme="9"/>
      </colorScale>
    </cfRule>
  </conditionalFormatting>
  <conditionalFormatting sqref="E36">
    <cfRule type="colorScale" priority="166">
      <colorScale>
        <cfvo type="num" val="0"/>
        <cfvo type="num" val="1"/>
        <color theme="0"/>
        <color theme="9"/>
      </colorScale>
    </cfRule>
  </conditionalFormatting>
  <conditionalFormatting sqref="D35">
    <cfRule type="colorScale" priority="163">
      <colorScale>
        <cfvo type="num" val="0"/>
        <cfvo type="num" val="1"/>
        <color theme="0"/>
        <color theme="9"/>
      </colorScale>
    </cfRule>
  </conditionalFormatting>
  <conditionalFormatting sqref="E35">
    <cfRule type="colorScale" priority="162">
      <colorScale>
        <cfvo type="num" val="0"/>
        <cfvo type="num" val="1"/>
        <color theme="0"/>
        <color theme="9"/>
      </colorScale>
    </cfRule>
  </conditionalFormatting>
  <conditionalFormatting sqref="D34">
    <cfRule type="colorScale" priority="159">
      <colorScale>
        <cfvo type="num" val="0"/>
        <cfvo type="num" val="1"/>
        <color theme="0"/>
        <color theme="9"/>
      </colorScale>
    </cfRule>
  </conditionalFormatting>
  <conditionalFormatting sqref="E34">
    <cfRule type="colorScale" priority="158">
      <colorScale>
        <cfvo type="num" val="0"/>
        <cfvo type="num" val="1"/>
        <color theme="0"/>
        <color theme="9"/>
      </colorScale>
    </cfRule>
  </conditionalFormatting>
  <conditionalFormatting sqref="D33">
    <cfRule type="colorScale" priority="155">
      <colorScale>
        <cfvo type="num" val="0"/>
        <cfvo type="num" val="1"/>
        <color theme="0"/>
        <color theme="9"/>
      </colorScale>
    </cfRule>
  </conditionalFormatting>
  <conditionalFormatting sqref="E33">
    <cfRule type="colorScale" priority="154">
      <colorScale>
        <cfvo type="num" val="0"/>
        <cfvo type="num" val="1"/>
        <color theme="0"/>
        <color theme="9"/>
      </colorScale>
    </cfRule>
  </conditionalFormatting>
  <conditionalFormatting sqref="D32">
    <cfRule type="colorScale" priority="151">
      <colorScale>
        <cfvo type="num" val="0"/>
        <cfvo type="num" val="1"/>
        <color theme="0"/>
        <color theme="9"/>
      </colorScale>
    </cfRule>
  </conditionalFormatting>
  <conditionalFormatting sqref="E32">
    <cfRule type="colorScale" priority="150">
      <colorScale>
        <cfvo type="num" val="0"/>
        <cfvo type="num" val="1"/>
        <color theme="0"/>
        <color theme="9"/>
      </colorScale>
    </cfRule>
  </conditionalFormatting>
  <conditionalFormatting sqref="D31">
    <cfRule type="colorScale" priority="147">
      <colorScale>
        <cfvo type="num" val="0"/>
        <cfvo type="num" val="1"/>
        <color theme="0"/>
        <color theme="9"/>
      </colorScale>
    </cfRule>
  </conditionalFormatting>
  <conditionalFormatting sqref="E31">
    <cfRule type="colorScale" priority="146">
      <colorScale>
        <cfvo type="num" val="0"/>
        <cfvo type="num" val="1"/>
        <color theme="0"/>
        <color theme="9"/>
      </colorScale>
    </cfRule>
  </conditionalFormatting>
  <conditionalFormatting sqref="D30">
    <cfRule type="colorScale" priority="143">
      <colorScale>
        <cfvo type="num" val="0"/>
        <cfvo type="num" val="1"/>
        <color theme="0"/>
        <color theme="9"/>
      </colorScale>
    </cfRule>
  </conditionalFormatting>
  <conditionalFormatting sqref="E30">
    <cfRule type="colorScale" priority="142">
      <colorScale>
        <cfvo type="num" val="0"/>
        <cfvo type="num" val="1"/>
        <color theme="0"/>
        <color theme="9"/>
      </colorScale>
    </cfRule>
  </conditionalFormatting>
  <conditionalFormatting sqref="D29">
    <cfRule type="colorScale" priority="139">
      <colorScale>
        <cfvo type="num" val="0"/>
        <cfvo type="num" val="1"/>
        <color theme="0"/>
        <color theme="9"/>
      </colorScale>
    </cfRule>
  </conditionalFormatting>
  <conditionalFormatting sqref="E29">
    <cfRule type="colorScale" priority="138">
      <colorScale>
        <cfvo type="num" val="0"/>
        <cfvo type="num" val="1"/>
        <color theme="0"/>
        <color theme="9"/>
      </colorScale>
    </cfRule>
  </conditionalFormatting>
  <conditionalFormatting sqref="D28">
    <cfRule type="colorScale" priority="135">
      <colorScale>
        <cfvo type="num" val="0"/>
        <cfvo type="num" val="1"/>
        <color theme="0"/>
        <color theme="9"/>
      </colorScale>
    </cfRule>
  </conditionalFormatting>
  <conditionalFormatting sqref="E28">
    <cfRule type="colorScale" priority="134">
      <colorScale>
        <cfvo type="num" val="0"/>
        <cfvo type="num" val="1"/>
        <color theme="0"/>
        <color theme="9"/>
      </colorScale>
    </cfRule>
  </conditionalFormatting>
  <conditionalFormatting sqref="D24">
    <cfRule type="colorScale" priority="131">
      <colorScale>
        <cfvo type="num" val="0"/>
        <cfvo type="num" val="1"/>
        <color theme="0"/>
        <color theme="9"/>
      </colorScale>
    </cfRule>
  </conditionalFormatting>
  <conditionalFormatting sqref="E24">
    <cfRule type="colorScale" priority="130">
      <colorScale>
        <cfvo type="num" val="0"/>
        <cfvo type="num" val="1"/>
        <color theme="0"/>
        <color theme="9"/>
      </colorScale>
    </cfRule>
  </conditionalFormatting>
  <conditionalFormatting sqref="D25">
    <cfRule type="colorScale" priority="127">
      <colorScale>
        <cfvo type="num" val="0"/>
        <cfvo type="num" val="1"/>
        <color theme="0"/>
        <color theme="9"/>
      </colorScale>
    </cfRule>
  </conditionalFormatting>
  <conditionalFormatting sqref="E25">
    <cfRule type="colorScale" priority="126">
      <colorScale>
        <cfvo type="num" val="0"/>
        <cfvo type="num" val="1"/>
        <color theme="0"/>
        <color theme="9"/>
      </colorScale>
    </cfRule>
  </conditionalFormatting>
  <conditionalFormatting sqref="D26">
    <cfRule type="colorScale" priority="123">
      <colorScale>
        <cfvo type="num" val="0"/>
        <cfvo type="num" val="1"/>
        <color theme="0"/>
        <color theme="9"/>
      </colorScale>
    </cfRule>
  </conditionalFormatting>
  <conditionalFormatting sqref="E26">
    <cfRule type="colorScale" priority="122">
      <colorScale>
        <cfvo type="num" val="0"/>
        <cfvo type="num" val="1"/>
        <color theme="0"/>
        <color theme="9"/>
      </colorScale>
    </cfRule>
  </conditionalFormatting>
  <conditionalFormatting sqref="D27">
    <cfRule type="colorScale" priority="119">
      <colorScale>
        <cfvo type="num" val="0"/>
        <cfvo type="num" val="1"/>
        <color theme="0"/>
        <color theme="9"/>
      </colorScale>
    </cfRule>
  </conditionalFormatting>
  <conditionalFormatting sqref="E27">
    <cfRule type="colorScale" priority="118">
      <colorScale>
        <cfvo type="num" val="0"/>
        <cfvo type="num" val="1"/>
        <color theme="0"/>
        <color theme="9"/>
      </colorScale>
    </cfRule>
  </conditionalFormatting>
  <conditionalFormatting sqref="D23">
    <cfRule type="colorScale" priority="115">
      <colorScale>
        <cfvo type="num" val="0"/>
        <cfvo type="num" val="1"/>
        <color theme="0"/>
        <color theme="9"/>
      </colorScale>
    </cfRule>
  </conditionalFormatting>
  <conditionalFormatting sqref="E23">
    <cfRule type="colorScale" priority="114">
      <colorScale>
        <cfvo type="num" val="0"/>
        <cfvo type="num" val="1"/>
        <color theme="0"/>
        <color theme="9"/>
      </colorScale>
    </cfRule>
  </conditionalFormatting>
  <conditionalFormatting sqref="D22">
    <cfRule type="colorScale" priority="111">
      <colorScale>
        <cfvo type="num" val="0"/>
        <cfvo type="num" val="1"/>
        <color theme="0"/>
        <color theme="9"/>
      </colorScale>
    </cfRule>
  </conditionalFormatting>
  <conditionalFormatting sqref="E22">
    <cfRule type="colorScale" priority="110">
      <colorScale>
        <cfvo type="num" val="0"/>
        <cfvo type="num" val="1"/>
        <color theme="0"/>
        <color theme="9"/>
      </colorScale>
    </cfRule>
  </conditionalFormatting>
  <conditionalFormatting sqref="D21">
    <cfRule type="colorScale" priority="107">
      <colorScale>
        <cfvo type="num" val="0"/>
        <cfvo type="num" val="1"/>
        <color theme="0"/>
        <color theme="9"/>
      </colorScale>
    </cfRule>
  </conditionalFormatting>
  <conditionalFormatting sqref="E21">
    <cfRule type="colorScale" priority="106">
      <colorScale>
        <cfvo type="num" val="0"/>
        <cfvo type="num" val="1"/>
        <color theme="0"/>
        <color theme="9"/>
      </colorScale>
    </cfRule>
  </conditionalFormatting>
  <conditionalFormatting sqref="D20">
    <cfRule type="colorScale" priority="103">
      <colorScale>
        <cfvo type="num" val="0"/>
        <cfvo type="num" val="1"/>
        <color theme="0"/>
        <color theme="9"/>
      </colorScale>
    </cfRule>
  </conditionalFormatting>
  <conditionalFormatting sqref="E20">
    <cfRule type="colorScale" priority="102">
      <colorScale>
        <cfvo type="num" val="0"/>
        <cfvo type="num" val="1"/>
        <color theme="0"/>
        <color theme="9"/>
      </colorScale>
    </cfRule>
  </conditionalFormatting>
  <conditionalFormatting sqref="D19">
    <cfRule type="colorScale" priority="99">
      <colorScale>
        <cfvo type="num" val="0"/>
        <cfvo type="num" val="1"/>
        <color theme="0"/>
        <color theme="9"/>
      </colorScale>
    </cfRule>
  </conditionalFormatting>
  <conditionalFormatting sqref="E19">
    <cfRule type="colorScale" priority="98">
      <colorScale>
        <cfvo type="num" val="0"/>
        <cfvo type="num" val="1"/>
        <color theme="0"/>
        <color theme="9"/>
      </colorScale>
    </cfRule>
  </conditionalFormatting>
  <conditionalFormatting sqref="D18">
    <cfRule type="colorScale" priority="95">
      <colorScale>
        <cfvo type="num" val="0"/>
        <cfvo type="num" val="1"/>
        <color theme="0"/>
        <color theme="9"/>
      </colorScale>
    </cfRule>
  </conditionalFormatting>
  <conditionalFormatting sqref="E18">
    <cfRule type="colorScale" priority="94">
      <colorScale>
        <cfvo type="num" val="0"/>
        <cfvo type="num" val="1"/>
        <color theme="0"/>
        <color theme="9"/>
      </colorScale>
    </cfRule>
  </conditionalFormatting>
  <conditionalFormatting sqref="H9">
    <cfRule type="colorScale" priority="91">
      <colorScale>
        <cfvo type="num" val="1"/>
        <cfvo type="num" val="2"/>
        <color rgb="FF70AD47"/>
        <color rgb="FFFFFF00"/>
      </colorScale>
    </cfRule>
  </conditionalFormatting>
  <conditionalFormatting sqref="H18:H87">
    <cfRule type="colorScale" priority="80">
      <colorScale>
        <cfvo type="num" val="1"/>
        <cfvo type="num" val="2"/>
        <color rgb="FF70AD47"/>
        <color rgb="FFFFFF00"/>
      </colorScale>
    </cfRule>
  </conditionalFormatting>
  <conditionalFormatting sqref="D17">
    <cfRule type="colorScale" priority="79">
      <colorScale>
        <cfvo type="num" val="0"/>
        <cfvo type="num" val="1"/>
        <color theme="0"/>
        <color theme="9"/>
      </colorScale>
    </cfRule>
  </conditionalFormatting>
  <conditionalFormatting sqref="E17">
    <cfRule type="colorScale" priority="78">
      <colorScale>
        <cfvo type="num" val="0"/>
        <cfvo type="num" val="1"/>
        <color theme="0"/>
        <color theme="9"/>
      </colorScale>
    </cfRule>
  </conditionalFormatting>
  <conditionalFormatting sqref="H17">
    <cfRule type="colorScale" priority="75">
      <colorScale>
        <cfvo type="num" val="1"/>
        <cfvo type="num" val="2"/>
        <color rgb="FF70AD47"/>
        <color rgb="FFFFFF00"/>
      </colorScale>
    </cfRule>
  </conditionalFormatting>
  <conditionalFormatting sqref="F17:G87">
    <cfRule type="colorScale" priority="74">
      <colorScale>
        <cfvo type="min"/>
        <cfvo type="max"/>
        <color theme="0"/>
        <color rgb="FF70AD47"/>
      </colorScale>
    </cfRule>
  </conditionalFormatting>
  <conditionalFormatting sqref="E85:E87">
    <cfRule type="colorScale" priority="60">
      <colorScale>
        <cfvo type="min"/>
        <cfvo type="max"/>
        <color theme="0"/>
        <color rgb="FF70AD47"/>
      </colorScale>
    </cfRule>
  </conditionalFormatting>
  <conditionalFormatting sqref="D9:G9">
    <cfRule type="colorScale" priority="55">
      <colorScale>
        <cfvo type="min"/>
        <cfvo type="max"/>
        <color theme="0"/>
        <color rgb="FF70AD47"/>
      </colorScale>
    </cfRule>
  </conditionalFormatting>
  <conditionalFormatting sqref="H15:H16">
    <cfRule type="colorScale" priority="47">
      <colorScale>
        <cfvo type="num" val="1"/>
        <cfvo type="num" val="2"/>
        <color rgb="FF70AD47"/>
        <color rgb="FFFFFF00"/>
      </colorScale>
    </cfRule>
  </conditionalFormatting>
  <conditionalFormatting sqref="D16:G16">
    <cfRule type="colorScale" priority="49">
      <colorScale>
        <cfvo type="min"/>
        <cfvo type="max"/>
        <color theme="0"/>
        <color rgb="FF70AD47"/>
      </colorScale>
    </cfRule>
  </conditionalFormatting>
  <conditionalFormatting sqref="H14">
    <cfRule type="colorScale" priority="44">
      <colorScale>
        <cfvo type="num" val="1"/>
        <cfvo type="num" val="2"/>
        <color rgb="FF70AD47"/>
        <color rgb="FFFFFF00"/>
      </colorScale>
    </cfRule>
  </conditionalFormatting>
  <conditionalFormatting sqref="D15:G15">
    <cfRule type="colorScale" priority="46">
      <colorScale>
        <cfvo type="min"/>
        <cfvo type="max"/>
        <color theme="0"/>
        <color rgb="FF70AD47"/>
      </colorScale>
    </cfRule>
  </conditionalFormatting>
  <conditionalFormatting sqref="H13">
    <cfRule type="colorScale" priority="41">
      <colorScale>
        <cfvo type="num" val="1"/>
        <cfvo type="num" val="2"/>
        <color rgb="FF70AD47"/>
        <color rgb="FFFFFF00"/>
      </colorScale>
    </cfRule>
  </conditionalFormatting>
  <conditionalFormatting sqref="D14:G14">
    <cfRule type="colorScale" priority="43">
      <colorScale>
        <cfvo type="min"/>
        <cfvo type="max"/>
        <color theme="0"/>
        <color rgb="FF70AD47"/>
      </colorScale>
    </cfRule>
  </conditionalFormatting>
  <conditionalFormatting sqref="D13:G13">
    <cfRule type="colorScale" priority="40">
      <colorScale>
        <cfvo type="min"/>
        <cfvo type="max"/>
        <color theme="0"/>
        <color rgb="FF70AD47"/>
      </colorScale>
    </cfRule>
  </conditionalFormatting>
  <conditionalFormatting sqref="H12">
    <cfRule type="colorScale" priority="38">
      <colorScale>
        <cfvo type="num" val="1"/>
        <cfvo type="num" val="2"/>
        <color rgb="FF70AD47"/>
        <color rgb="FFFFFF00"/>
      </colorScale>
    </cfRule>
  </conditionalFormatting>
  <conditionalFormatting sqref="D12:G12">
    <cfRule type="colorScale" priority="37">
      <colorScale>
        <cfvo type="min"/>
        <cfvo type="max"/>
        <color theme="0"/>
        <color rgb="FF70AD47"/>
      </colorScale>
    </cfRule>
  </conditionalFormatting>
  <conditionalFormatting sqref="D11">
    <cfRule type="colorScale" priority="36">
      <colorScale>
        <cfvo type="num" val="0"/>
        <cfvo type="num" val="1"/>
        <color theme="0"/>
        <color theme="9"/>
      </colorScale>
    </cfRule>
  </conditionalFormatting>
  <conditionalFormatting sqref="E11">
    <cfRule type="colorScale" priority="35">
      <colorScale>
        <cfvo type="num" val="0"/>
        <cfvo type="num" val="1"/>
        <color theme="0"/>
        <color theme="9"/>
      </colorScale>
    </cfRule>
  </conditionalFormatting>
  <conditionalFormatting sqref="J11:J90 J9">
    <cfRule type="dataBar" priority="20">
      <dataBar showValue="0">
        <cfvo type="num" val="0"/>
        <cfvo type="num" val="5"/>
        <color rgb="FF638EC6"/>
      </dataBar>
    </cfRule>
  </conditionalFormatting>
  <hyperlinks>
    <hyperlink ref="B5" r:id="rId1" xr:uid="{00000000-0004-0000-0000-000000000000}"/>
    <hyperlink ref="B6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" r:id="rId6" name="Button 70">
              <controlPr defaultSize="0" print="0" autoFill="0" autoPict="0" macro="[0]!New_Job">
                <anchor moveWithCells="1">
                  <from>
                    <xdr:col>6</xdr:col>
                    <xdr:colOff>314325</xdr:colOff>
                    <xdr:row>2</xdr:row>
                    <xdr:rowOff>38100</xdr:rowOff>
                  </from>
                  <to>
                    <xdr:col>9</xdr:col>
                    <xdr:colOff>1447800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"/>
  <sheetViews>
    <sheetView workbookViewId="0">
      <selection activeCell="B4" sqref="B4"/>
    </sheetView>
  </sheetViews>
  <sheetFormatPr defaultRowHeight="15"/>
  <cols>
    <col min="1" max="1" width="30.42578125" style="35" customWidth="1"/>
    <col min="2" max="7" width="11.7109375" style="35" customWidth="1"/>
    <col min="8" max="8" width="30.7109375" style="35" customWidth="1"/>
    <col min="9" max="9" width="17.140625" style="35" customWidth="1"/>
  </cols>
  <sheetData>
    <row r="1" spans="1:9">
      <c r="A1" s="5" t="s">
        <v>8</v>
      </c>
      <c r="B1" s="4" t="s">
        <v>9</v>
      </c>
      <c r="C1" s="4" t="s">
        <v>11</v>
      </c>
      <c r="D1" s="4" t="s">
        <v>12</v>
      </c>
      <c r="E1" s="4" t="s">
        <v>13</v>
      </c>
      <c r="F1" s="4" t="s">
        <v>14</v>
      </c>
      <c r="G1" s="4" t="s">
        <v>15</v>
      </c>
      <c r="H1" s="4" t="s">
        <v>16</v>
      </c>
      <c r="I1" s="4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Actions</vt:lpstr>
      <vt:lpstr>Completed</vt:lpstr>
      <vt:lpstr>Complete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Ogilvie, Heath</dc:creator>
  <cp:lastModifiedBy>Richard</cp:lastModifiedBy>
  <cp:lastPrinted>2020-06-18T08:32:03Z</cp:lastPrinted>
  <dcterms:created xsi:type="dcterms:W3CDTF">2020-03-24T03:18:14Z</dcterms:created>
  <dcterms:modified xsi:type="dcterms:W3CDTF">2020-06-18T10:51:44Z</dcterms:modified>
</cp:coreProperties>
</file>